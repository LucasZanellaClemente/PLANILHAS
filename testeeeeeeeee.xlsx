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atalogo_Colunas" sheetId="2" r:id="rId2"/>
    <sheet name="Qualidade_Dados" sheetId="3" r:id="rId3"/>
    <sheet name="Historico" sheetId="4" r:id="rId4"/>
    <sheet name="Dataset_Financas_Complementar_L" sheetId="5" r:id="rId5"/>
    <sheet name="Dataset_Financas_Complementar_V" sheetId="6" r:id="rId6"/>
    <sheet name="Dataset_Financas_Complementar_1" sheetId="7" r:id="rId7"/>
    <sheet name="Dataset_Financas_Complementar_P" sheetId="8" r:id="rId8"/>
    <sheet name="Dataset_Financas_Complementar_2" sheetId="9" r:id="rId9"/>
    <sheet name="Dataset_Financas_Complementar_C" sheetId="10" r:id="rId10"/>
    <sheet name="Dataset_Financas_Complementar_3" sheetId="11" r:id="rId11"/>
    <sheet name="Dataset_Financas_Complementar_M" sheetId="12" r:id="rId12"/>
    <sheet name="Dataset_Financas_Complementar_F" sheetId="13" r:id="rId13"/>
    <sheet name="Dataset_Financas_Complementar_4" sheetId="14" r:id="rId14"/>
    <sheet name="Dataset_Financas_Complementar_E" sheetId="15" r:id="rId15"/>
    <sheet name="Dataset_Financas_Complementar_G" sheetId="16" r:id="rId16"/>
  </sheets>
  <definedNames>
    <definedName name="_xlnm._FilterDatabase" localSheetId="0" hidden="1">Resumo!$A$1:$B$11</definedName>
  </definedNames>
  <calcPr calcId="124519" fullCalcOnLoad="1"/>
</workbook>
</file>

<file path=xl/sharedStrings.xml><?xml version="1.0" encoding="utf-8"?>
<sst xmlns="http://schemas.openxmlformats.org/spreadsheetml/2006/main" count="2522" uniqueCount="429">
  <si>
    <t>Métrica</t>
  </si>
  <si>
    <t>Valor</t>
  </si>
  <si>
    <t>Data/hora de geração</t>
  </si>
  <si>
    <t>Arquivos processados</t>
  </si>
  <si>
    <t>Quantidade de arquivos processados</t>
  </si>
  <si>
    <t>Abas processadas</t>
  </si>
  <si>
    <t>Quantidade de datasets carregados</t>
  </si>
  <si>
    <t>Total de linhas (todos os datasets)</t>
  </si>
  <si>
    <t>Total de colunas (todos os datasets)</t>
  </si>
  <si>
    <t>Total de valores nulos</t>
  </si>
  <si>
    <t>Total de linhas duplicadas</t>
  </si>
  <si>
    <t>Operações realizadas e confirmadas</t>
  </si>
  <si>
    <t>2026-09-25 11:00:51</t>
  </si>
  <si>
    <t>Dataset_Financas_Complementar.xlsx</t>
  </si>
  <si>
    <t>LEIA-ME, Vendas, Produtos, Vendedores, Centro_Custo, Contas_GL, Metas, Feriados, Faixas_Bonus, Exercicios, Gabarito</t>
  </si>
  <si>
    <t>Dataset</t>
  </si>
  <si>
    <t>Posição</t>
  </si>
  <si>
    <t>Coluna</t>
  </si>
  <si>
    <t>Tipo</t>
  </si>
  <si>
    <t>Categoria</t>
  </si>
  <si>
    <t>Preenchidos</t>
  </si>
  <si>
    <t>Nulos</t>
  </si>
  <si>
    <t>% Nulos</t>
  </si>
  <si>
    <t>Únicos</t>
  </si>
  <si>
    <t>Exemplos</t>
  </si>
  <si>
    <t>[1] Dataset_Financas_Complementar.xlsx :: LEIA-ME</t>
  </si>
  <si>
    <t>[2] Dataset_Financas_Complementar.xlsx :: Vendas</t>
  </si>
  <si>
    <t>[3] Dataset_Financas_Complementar.xlsx :: Produtos</t>
  </si>
  <si>
    <t>[4] Dataset_Financas_Complementar.xlsx :: Vendedores</t>
  </si>
  <si>
    <t>[5] Dataset_Financas_Complementar.xlsx :: Centro_Custo</t>
  </si>
  <si>
    <t>[6] Dataset_Financas_Complementar.xlsx :: Contas_GL</t>
  </si>
  <si>
    <t>[7] Dataset_Financas_Complementar.xlsx :: Metas</t>
  </si>
  <si>
    <t>[8] Dataset_Financas_Complementar.xlsx :: Feriados</t>
  </si>
  <si>
    <t>[9] Dataset_Financas_Complementar.xlsx :: Faixas_Bonus</t>
  </si>
  <si>
    <t>[10] Dataset_Financas_Complementar.xlsx :: Exercicios</t>
  </si>
  <si>
    <t>[11] Dataset_Financas_Complementar.xlsx :: Gabarito</t>
  </si>
  <si>
    <t>Dataset de Treinamento de Excel — Finanças (complementar)</t>
  </si>
  <si>
    <t>Unnamed: 1</t>
  </si>
  <si>
    <t>Unnamed: 2</t>
  </si>
  <si>
    <t>Data</t>
  </si>
  <si>
    <t>Regiao</t>
  </si>
  <si>
    <t>Produto</t>
  </si>
  <si>
    <t>Vendedor</t>
  </si>
  <si>
    <t>Quantidade</t>
  </si>
  <si>
    <t>Valor_Unitario</t>
  </si>
  <si>
    <t>Valor_Total</t>
  </si>
  <si>
    <t>Cost Center</t>
  </si>
  <si>
    <t>GL</t>
  </si>
  <si>
    <t>Fornecedor</t>
  </si>
  <si>
    <t>Ativo</t>
  </si>
  <si>
    <t>Preco_Lista</t>
  </si>
  <si>
    <t>Custo_Unitario</t>
  </si>
  <si>
    <t>Margem_Pct</t>
  </si>
  <si>
    <t>Data_Lancamento</t>
  </si>
  <si>
    <t>Produto_Foco</t>
  </si>
  <si>
    <t>Gerente</t>
  </si>
  <si>
    <t>Cargo</t>
  </si>
  <si>
    <t>Data_Admissao</t>
  </si>
  <si>
    <t>Comissao_Pct</t>
  </si>
  <si>
    <t>Salario_Base</t>
  </si>
  <si>
    <t>Descricao</t>
  </si>
  <si>
    <t>Area</t>
  </si>
  <si>
    <t>Responsavel</t>
  </si>
  <si>
    <t>Meta_Receita_Semestre</t>
  </si>
  <si>
    <t>Descricao_GL</t>
  </si>
  <si>
    <t>Tipo_Conta</t>
  </si>
  <si>
    <t>Natureza</t>
  </si>
  <si>
    <t>Mes</t>
  </si>
  <si>
    <t>Meta_Quantidade</t>
  </si>
  <si>
    <t>Meta_Valor</t>
  </si>
  <si>
    <t>Feriado</t>
  </si>
  <si>
    <t>Atingimento_Min</t>
  </si>
  <si>
    <t>Bonus_Pct</t>
  </si>
  <si>
    <t>Classificacao</t>
  </si>
  <si>
    <t>Nº</t>
  </si>
  <si>
    <t>Nível</t>
  </si>
  <si>
    <t>Funções-chave</t>
  </si>
  <si>
    <t>Enunciado</t>
  </si>
  <si>
    <t>Sua resposta</t>
  </si>
  <si>
    <t>Fórmula (Excel PT-BR)</t>
  </si>
  <si>
    <t>Resultado</t>
  </si>
  <si>
    <t>str</t>
  </si>
  <si>
    <t>numérico</t>
  </si>
  <si>
    <t>data</t>
  </si>
  <si>
    <t>texto</t>
  </si>
  <si>
    <t>textual</t>
  </si>
  <si>
    <t>numérica</t>
  </si>
  <si>
    <t>Todos os dados são fictícios. A aba Vendas é o dataset original, sem alterações; as demais abas complementam ela., Aba, Vendas</t>
  </si>
  <si>
    <t>Conteúdo, Dataset original (120 vendas, jan–jun/2026). Tabela tblVendas., Categoria, fornecedor, preço de lista, custo, margem, lançamento, ativo.</t>
  </si>
  <si>
    <t>Chave de ligação com Vendas, —, Produto (Vendas!C)</t>
  </si>
  <si>
    <t>2026-01-02, 2026-01-03, 2026-01-04</t>
  </si>
  <si>
    <t>Sudeste, Norte, Nordeste</t>
  </si>
  <si>
    <t>Copilot, Azure, Office 365</t>
  </si>
  <si>
    <t>Bruno, Carlos, Julia</t>
  </si>
  <si>
    <t>2, 3, 4</t>
  </si>
  <si>
    <t>200, 300, 400</t>
  </si>
  <si>
    <t>400, 900, 1600</t>
  </si>
  <si>
    <t>CC200, CC300, CC100</t>
  </si>
  <si>
    <t>610002, 610003, 610001</t>
  </si>
  <si>
    <t>IA, Nuvem, Produtividade</t>
  </si>
  <si>
    <t>Microsoft</t>
  </si>
  <si>
    <t>Sim</t>
  </si>
  <si>
    <t>130, 195, 240</t>
  </si>
  <si>
    <t>0.35, 0.4, 0.45</t>
  </si>
  <si>
    <t>2023-03-01 00:00:00, 2010-02-01 00:00:00, 2011-06-28 00:00:00</t>
  </si>
  <si>
    <t>Sim, Não</t>
  </si>
  <si>
    <t>Renata Alves, Marcelo Tavares</t>
  </si>
  <si>
    <t>Executivo de Contas Sr, Executivo de Contas Pl, Executivo de Contas Jr</t>
  </si>
  <si>
    <t>2021-03-15 00:00:00, 2022-08-01 00:00:00, 2020-01-20 00:00:00</t>
  </si>
  <si>
    <t>0.04, 0.035, 0.045</t>
  </si>
  <si>
    <t>7500, 6200, 7800</t>
  </si>
  <si>
    <t>CC100, CC200, CC300</t>
  </si>
  <si>
    <t>Vendas Corporativas, Vendas Varejo, Canais e Parcerias</t>
  </si>
  <si>
    <t>Comercial, Marketing</t>
  </si>
  <si>
    <t>Patricia Lima, Rodrigo Nunes, Beatriz Souza</t>
  </si>
  <si>
    <t>33000, 30000, 28500</t>
  </si>
  <si>
    <t>610001, 610002, 610003</t>
  </si>
  <si>
    <t>Receita de Licenciamento, Receita de Serviços em Nuvem, Receita de Assinaturas</t>
  </si>
  <si>
    <t>Receita</t>
  </si>
  <si>
    <t>Credora</t>
  </si>
  <si>
    <t>2026-01-01 00:00:00, 2026-02-01 00:00:00, 2026-03-01 00:00:00</t>
  </si>
  <si>
    <t>13, 12, 16</t>
  </si>
  <si>
    <t>2600, 3600, 6400</t>
  </si>
  <si>
    <t>2026-01-01 00:00:00, 2026-02-16 00:00:00, 2026-02-17 00:00:00</t>
  </si>
  <si>
    <t>Confraternização Universal, Carnaval (segunda), Carnaval (terça)</t>
  </si>
  <si>
    <t>Nacional, Ponto facultativo</t>
  </si>
  <si>
    <t>0.0, 0.8, 1.0</t>
  </si>
  <si>
    <t>0.0, 0.02, 0.05</t>
  </si>
  <si>
    <t>Abaixo da meta, Próximo da meta, Meta batida</t>
  </si>
  <si>
    <t>1, 2, 3</t>
  </si>
  <si>
    <t>Básico, Intermediário, Avançado</t>
  </si>
  <si>
    <t>SOMA, MÉDIA, MÁXIMO, MÍNIMO</t>
  </si>
  <si>
    <t>Calcule o valor total vendido (soma de Valor_Total)., Qual o valor médio (ticket médio) por venda registrada?, Calcule a amplitude das vendas: maior Valor_Total menos o menor.</t>
  </si>
  <si>
    <t>90000, 750, 1900</t>
  </si>
  <si>
    <t>Linhas</t>
  </si>
  <si>
    <t>Colunas</t>
  </si>
  <si>
    <t>Total de nulos</t>
  </si>
  <si>
    <t>% Nulos (geral)</t>
  </si>
  <si>
    <t>Linhas duplicadas</t>
  </si>
  <si>
    <t>Colunas totalmente nulas</t>
  </si>
  <si>
    <t>Colunas constantes</t>
  </si>
  <si>
    <t>-</t>
  </si>
  <si>
    <t>Fornecedor, Ativo</t>
  </si>
  <si>
    <t>Tipo_Conta, Natureza</t>
  </si>
  <si>
    <t>Data/Hora</t>
  </si>
  <si>
    <t>Operação</t>
  </si>
  <si>
    <t>Parâmetros</t>
  </si>
  <si>
    <t>Linhas (antes)</t>
  </si>
  <si>
    <t>Linhas (depois)</t>
  </si>
  <si>
    <t>Colunas (antes)</t>
  </si>
  <si>
    <t>Colunas (depois)</t>
  </si>
  <si>
    <t>Avisos</t>
  </si>
  <si>
    <t>2026-09-25 11:00:42</t>
  </si>
  <si>
    <t>PROCV</t>
  </si>
  <si>
    <t>consulta=[3] Dataset_Financas_Complementar.xlsx :: Produtos, chave_principal=Produto, chave_consulta=Produto, retorno=['Categoria', 'Fornecedor', 'Ativo']</t>
  </si>
  <si>
    <t>Todos os dados são fictícios. A aba Vendas é o dataset original, sem alterações; as demais abas complementam ela.</t>
  </si>
  <si>
    <t>Aba</t>
  </si>
  <si>
    <t>Vendas</t>
  </si>
  <si>
    <t>Produtos</t>
  </si>
  <si>
    <t>Vendedores</t>
  </si>
  <si>
    <t>Centro_Custo</t>
  </si>
  <si>
    <t>Contas_GL</t>
  </si>
  <si>
    <t>Metas</t>
  </si>
  <si>
    <t>Feriados</t>
  </si>
  <si>
    <t>Faixas_Bonus</t>
  </si>
  <si>
    <t>Exercicios</t>
  </si>
  <si>
    <t>Gabarito</t>
  </si>
  <si>
    <t>Pegadinhas propositais</t>
  </si>
  <si>
    <t>•</t>
  </si>
  <si>
    <t>Legenda</t>
  </si>
  <si>
    <t>Célula amarela</t>
  </si>
  <si>
    <t>Conteúdo</t>
  </si>
  <si>
    <t>Dataset original (120 vendas, jan–jun/2026). Tabela tblVendas.</t>
  </si>
  <si>
    <t>Categoria, fornecedor, preço de lista, custo, margem, lançamento, ativo.</t>
  </si>
  <si>
    <t>Região, gerente, cargo, admissão, % de comissão, salário base.</t>
  </si>
  <si>
    <t>Descrição, área, responsável e meta de receita semestral por Cost Center.</t>
  </si>
  <si>
    <t>Descrição, tipo e natureza das contas contábeis. GL guardado como TEXTO.</t>
  </si>
  <si>
    <t>Meta mensal de quantidade e valor por região/produto (jan–jun/2026).</t>
  </si>
  <si>
    <t>Feriados nacionais/pontos facultativos do 1º semestre de 2026.</t>
  </si>
  <si>
    <t>Tabela de faixas de atingimento x bônus, feita para busca aproximada.</t>
  </si>
  <si>
    <t>26 exercícios do básico ao avançado, com célula amarela para sua resposta.</t>
  </si>
  <si>
    <t>Fórmula em PT-BR (texto) e resultado calculado ao vivo de cada exercício.</t>
  </si>
  <si>
    <t>Vendas!Data está em TEXTO (aaaa-mm-dd), não é data real. Use DATA.VALOR ou curingas para trabalhar com ela.</t>
  </si>
  <si>
    <t>Vendas!GL é TEXTO. Contas_GL!GL também é texto para o PROCV funcionar; se um lado virar número, dá #N/D.</t>
  </si>
  <si>
    <t>Há itens sem vendas (Diego, Fernanda, Marcos; Teams, Dynamics 365; CC400; GL 610004): bom para testar SEERRO e contagens zeradas.</t>
  </si>
  <si>
    <t>As abas novas são Tabelas do Excel (tblProdutos, tblVendedores, tblMetas...). Dá para usar referências estruturadas.</t>
  </si>
  <si>
    <t>As fórmulas do Gabarito estão no Excel em português; internamente o arquivo funciona em qualquer idioma.</t>
  </si>
  <si>
    <t>Onde você escreve sua resposta (aba Exercicios).</t>
  </si>
  <si>
    <t>Chave de ligação com Vendas</t>
  </si>
  <si>
    <t>—</t>
  </si>
  <si>
    <t>Produto (Vendas!C)</t>
  </si>
  <si>
    <t>Vendedor (Vendas!D)</t>
  </si>
  <si>
    <t>Cost Center (Vendas!H)</t>
  </si>
  <si>
    <t>GL (Vendas!I)</t>
  </si>
  <si>
    <t>Regiao + Produto + mês (Vendas!A, B, C)</t>
  </si>
  <si>
    <t>Data (para dias úteis)</t>
  </si>
  <si>
    <t>Atingimento de meta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</si>
  <si>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</si>
  <si>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</si>
  <si>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</si>
  <si>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</si>
  <si>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</si>
  <si>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</si>
  <si>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</si>
  <si>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</si>
  <si>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</si>
  <si>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</si>
  <si>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</si>
  <si>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</si>
  <si>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</si>
  <si>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</si>
  <si>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</si>
  <si>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</si>
  <si>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</si>
  <si>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</si>
  <si>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</si>
  <si>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</si>
  <si>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</si>
  <si>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</si>
  <si>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</si>
  <si>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</si>
  <si>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</si>
  <si>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</si>
  <si>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</si>
  <si>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</si>
  <si>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</si>
  <si>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</si>
  <si>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</si>
  <si>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</si>
  <si>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</si>
  <si>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</si>
  <si>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</si>
  <si>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</si>
  <si>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</si>
  <si>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</si>
  <si>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</si>
  <si>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</si>
  <si>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</si>
  <si>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</si>
  <si>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</si>
  <si>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</si>
  <si>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</si>
  <si>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</si>
  <si>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</si>
  <si>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</si>
  <si>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</si>
  <si>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</si>
  <si>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</si>
  <si>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</si>
  <si>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</si>
  <si>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</si>
  <si>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</si>
  <si>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</si>
  <si>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</si>
  <si>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</si>
  <si>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</si>
  <si>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</si>
  <si>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</si>
  <si>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</si>
  <si>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</si>
  <si>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</si>
  <si>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</si>
  <si>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</si>
  <si>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</si>
  <si>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</si>
  <si>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</si>
  <si>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</si>
  <si>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</si>
  <si>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</si>
  <si>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</si>
  <si>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</si>
  <si>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</si>
  <si>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</si>
  <si>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</si>
  <si>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</si>
  <si>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</si>
  <si>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</si>
  <si>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</si>
  <si>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</si>
  <si>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</si>
  <si>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</si>
  <si>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</si>
  <si>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</si>
  <si>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</si>
  <si>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</si>
  <si>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</si>
  <si>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</si>
  <si>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</si>
  <si>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</si>
  <si>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</si>
  <si>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</si>
  <si>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</si>
  <si>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</si>
  <si>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</si>
  <si>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</si>
  <si>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</si>
  <si>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</si>
  <si>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</si>
  <si>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</si>
  <si>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</si>
  <si>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</si>
  <si>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</si>
  <si>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</si>
  <si>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</si>
  <si>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</si>
  <si>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</si>
  <si>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</si>
  <si>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</si>
  <si>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</si>
  <si>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</si>
  <si>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</si>
  <si>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</si>
  <si>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</si>
  <si>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</si>
  <si>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</si>
  <si>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</si>
  <si>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</si>
  <si>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Sudeste</t>
  </si>
  <si>
    <t>Norte</t>
  </si>
  <si>
    <t>Nordeste</t>
  </si>
  <si>
    <t>Sul</t>
  </si>
  <si>
    <t>Copilot</t>
  </si>
  <si>
    <t>Azure</t>
  </si>
  <si>
    <t>Office 365</t>
  </si>
  <si>
    <t>Power BI</t>
  </si>
  <si>
    <t>Bruno</t>
  </si>
  <si>
    <t>Carlos</t>
  </si>
  <si>
    <t>Julia</t>
  </si>
  <si>
    <t>Ana</t>
  </si>
  <si>
    <t>CC200</t>
  </si>
  <si>
    <t>CC300</t>
  </si>
  <si>
    <t>CC100</t>
  </si>
  <si>
    <t>IA</t>
  </si>
  <si>
    <t>Nuvem</t>
  </si>
  <si>
    <t>Produtividade</t>
  </si>
  <si>
    <t>Analytics</t>
  </si>
  <si>
    <t>Teams</t>
  </si>
  <si>
    <t>Dynamics 365</t>
  </si>
  <si>
    <t>ERP/CRM</t>
  </si>
  <si>
    <t>Não</t>
  </si>
  <si>
    <t>Diego</t>
  </si>
  <si>
    <t>Fernanda</t>
  </si>
  <si>
    <t>Marcos</t>
  </si>
  <si>
    <t>Renata Alves</t>
  </si>
  <si>
    <t>Marcelo Tavares</t>
  </si>
  <si>
    <t>Executivo de Contas Sr</t>
  </si>
  <si>
    <t>Executivo de Contas Pl</t>
  </si>
  <si>
    <t>Executivo de Contas Jr</t>
  </si>
  <si>
    <t>CC400</t>
  </si>
  <si>
    <t>Vendas Corporativas</t>
  </si>
  <si>
    <t>Vendas Varejo</t>
  </si>
  <si>
    <t>Canais e Parcerias</t>
  </si>
  <si>
    <t>Marketing de Produto</t>
  </si>
  <si>
    <t>Comercial</t>
  </si>
  <si>
    <t>Marketing</t>
  </si>
  <si>
    <t>Patricia Lima</t>
  </si>
  <si>
    <t>Rodrigo Nunes</t>
  </si>
  <si>
    <t>Beatriz Souza</t>
  </si>
  <si>
    <t>Andre Costa</t>
  </si>
  <si>
    <t>Receita de Licenciamento</t>
  </si>
  <si>
    <t>Receita de Serviços em Nuvem</t>
  </si>
  <si>
    <t>Receita de Assinaturas</t>
  </si>
  <si>
    <t>Receita de Suporte Técnico</t>
  </si>
  <si>
    <t>Confraternização Universal</t>
  </si>
  <si>
    <t>Carnaval (segunda)</t>
  </si>
  <si>
    <t>Carnaval (terça)</t>
  </si>
  <si>
    <t>Sexta-feira Santa</t>
  </si>
  <si>
    <t>Tiradentes</t>
  </si>
  <si>
    <t>Dia do Trabalho</t>
  </si>
  <si>
    <t>Corpus Christi</t>
  </si>
  <si>
    <t>Nacional</t>
  </si>
  <si>
    <t>Ponto facultativo</t>
  </si>
  <si>
    <t>Abaixo da meta</t>
  </si>
  <si>
    <t>Próximo da meta</t>
  </si>
  <si>
    <t>Meta batida</t>
  </si>
  <si>
    <t>Superou a meta</t>
  </si>
  <si>
    <t>Básico</t>
  </si>
  <si>
    <t>Intermediário</t>
  </si>
  <si>
    <t>Avançado</t>
  </si>
  <si>
    <t>Prática</t>
  </si>
  <si>
    <t>SOMA</t>
  </si>
  <si>
    <t>MÉDIA</t>
  </si>
  <si>
    <t>MÁXIMO, MÍNIMO</t>
  </si>
  <si>
    <t>CONT.VALORES</t>
  </si>
  <si>
    <t>SOMASE</t>
  </si>
  <si>
    <t>CONT.SES</t>
  </si>
  <si>
    <t>ÍNDICE, CORRESP</t>
  </si>
  <si>
    <t>SOMARPRODUTO, SOMASE</t>
  </si>
  <si>
    <t>SOMASE, PROCV</t>
  </si>
  <si>
    <t>SOMASES, curinga</t>
  </si>
  <si>
    <t>DATA.VALOR, MÊS</t>
  </si>
  <si>
    <t>SEERRO, PROCV</t>
  </si>
  <si>
    <t>SE (aninhado)</t>
  </si>
  <si>
    <t>SOMASES, DATA</t>
  </si>
  <si>
    <t>PROCV (aproximado)</t>
  </si>
  <si>
    <t>DIATRABALHOTOTAL</t>
  </si>
  <si>
    <t>Tabela Dinâmica</t>
  </si>
  <si>
    <t>Formatação Condicional</t>
  </si>
  <si>
    <t>Calcule o valor total vendido (soma de Valor_Total).</t>
  </si>
  <si>
    <t>Qual o valor médio (ticket médio) por venda registrada?</t>
  </si>
  <si>
    <t>Calcule a amplitude das vendas: maior Valor_Total menos o menor.</t>
  </si>
  <si>
    <t>Quantas vendas (linhas) estão registradas na aba Vendas?</t>
  </si>
  <si>
    <t>Qual o valor total vendido na região Sul?</t>
  </si>
  <si>
    <t>Qual a quantidade total vendida do produto Azure?</t>
  </si>
  <si>
    <t>Quantas vendas o Bruno fez com Quantidade maior ou igual a 3?</t>
  </si>
  <si>
    <t>Traga a Categoria do produto da venda da linha 2 (aba Produtos).</t>
  </si>
  <si>
    <t>Traga o Custo_Unitario do produto da linha 2, usando ÍNDICE + CORRESP (sem PROCV).</t>
  </si>
  <si>
    <t>Calcule o lucro bruto total: soma de Quantidade × (Valor_Unitario − Custo_Unitario), buscando o custo na aba Produtos.</t>
  </si>
  <si>
    <t>Calcule a comissão devida ao Bruno: total vendido por ele × Comissao_Pct da aba Vendedores.</t>
  </si>
  <si>
    <t>Traga a Area do Cost Center da venda da linha 2 (aba Centro_Custo).</t>
  </si>
  <si>
    <t>Traga a Descricao_GL da conta GL da venda da linha 2. Atenção ao tipo do dado (texto x número).</t>
  </si>
  <si>
    <t>Qual o total vendido em janeiro/2026? (a coluna Data está em texto: use o curinga *).</t>
  </si>
  <si>
    <t>Converta a Data em texto da linha 2 para data real e extraia o número do mês.</t>
  </si>
  <si>
    <t>Busque a comissão do vendedor "Paulo". Se não estiver cadastrado, mostre "Não cadastrado" em vez de #N/D.</t>
  </si>
  <si>
    <t>Classifique a venda da linha 4: "Alta" se Valor_Total ≥ 1000, "Média" se ≥ 500, senão "Baixa".</t>
  </si>
  <si>
    <t>Calcule o atingimento da meta de janeiro/2026 na região Sudeste: realizado (Vendas) ÷ Meta_Valor (aba Metas).</t>
  </si>
  <si>
    <t>Use o atingimento do exercício anterior para buscar o Bonus_Pct na aba Faixas_Bonus (correspondência aproximada).</t>
  </si>
  <si>
    <t>Qual a participação (%) da região Nordeste no total vendido?</t>
  </si>
  <si>
    <t>Qual o faturamento total dos produtos da categoria "Produtividade"? (a categoria está na aba Produtos, não em Vendas).</t>
  </si>
  <si>
    <t>Qual a posição (ranking) do Bruno entre todos os vendedores da aba Vendedores por total vendido? (1 = maior).</t>
  </si>
  <si>
    <t>Quantos dias úteis tem janeiro/2026, descontando os feriados da aba Feriados?</t>
  </si>
  <si>
    <t>Qual o % da Meta_Receita_Semestre do CC200 que foi atingido pela receita alocada a esse Cost Center?</t>
  </si>
  <si>
    <t>Crie uma Tabela Dinâmica com Regiao nas linhas, o mês nas colunas (agrupe a data) e Soma de Valor_Total nos valores. Adicione uma Segmentação de Dados por Produto. (Dica: converta a Data em data real antes.)</t>
  </si>
  <si>
    <t>Na aba Metas, destaque em vermelho as linhas de Meta_Valor abaixo da média e em verde as acima. Depois, adicione barras de dados em Meta_Quantidade.</t>
  </si>
  <si>
    <t>Inserir &gt; Tabela Dinâmica &gt; origem: tblVendas. Arraste Regiao para Linhas e Valor_Total para Valores.</t>
  </si>
  <si>
    <t>Página Inicial &gt; Formatação Condicional &gt; Regras de Primeiros/Últimos &gt; Acima/Abaixo da Média.</t>
  </si>
  <si>
    <t>Não cadastrado</t>
  </si>
  <si>
    <t>Alta</t>
  </si>
  <si>
    <t>(prática – sem fórmula)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</si>
</sst>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&quot;%&quot;"/>
    <numFmt numFmtId="166" formatCode="#,##0.00"/>
    <numFmt numFmtId="167" formatCode="dd/mm/yyyy"/>
    <numFmt numFmtId="168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atalogo_Colunas" displayName="Tbl_Catalogo_Colunas" ref="A1:J62" totalsRowShown="0">
  <autoFilter ref="A1:J62"/>
  <tableColumns count="10">
    <tableColumn id="1" name="Dataset"/>
    <tableColumn id="2" name="Posição"/>
    <tableColumn id="3" name="Coluna"/>
    <tableColumn id="4" name="Tipo"/>
    <tableColumn id="5" name="Categoria"/>
    <tableColumn id="6" name="Preenchidos"/>
    <tableColumn id="7" name="Nulos"/>
    <tableColumn id="8" name="% Nulos"/>
    <tableColumn id="9" name="Únicos"/>
    <tableColumn id="10" name="Exempl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Qualidade_Dados" displayName="Tbl_Qualidade_Dados" ref="A1:H12" totalsRowShown="0">
  <autoFilter ref="A1:H12"/>
  <tableColumns count="8">
    <tableColumn id="1" name="Dataset"/>
    <tableColumn id="2" name="Linhas"/>
    <tableColumn id="3" name="Colunas"/>
    <tableColumn id="4" name="Total de nulos"/>
    <tableColumn id="5" name="% Nulos (geral)"/>
    <tableColumn id="6" name="Linhas duplicadas"/>
    <tableColumn id="7" name="Colunas totalmente nulas"/>
    <tableColumn id="8" name="Colunas constan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Historico" displayName="Tbl_Historico" ref="A1:I2" totalsRowShown="0">
  <autoFilter ref="A1:I2"/>
  <tableColumns count="9">
    <tableColumn id="1" name="Data/Hora"/>
    <tableColumn id="2" name="Dataset"/>
    <tableColumn id="3" name="Operação"/>
    <tableColumn id="4" name="Parâmetros"/>
    <tableColumn id="5" name="Linhas (antes)"/>
    <tableColumn id="6" name="Linhas (depois)"/>
    <tableColumn id="7" name="Colunas (antes)"/>
    <tableColumn id="8" name="Colunas (depois)"/>
    <tableColumn id="9" name="Avis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Dataset_Financas_Complementar_L" displayName="Tbl_Dataset_Financas_Complementar_L" ref="A1:C24" totalsRowShown="0">
  <autoFilter ref="A1:C24"/>
  <tableColumns count="3">
    <tableColumn id="1" name="Dataset de Treinamento de Excel — Finanças (complementar)"/>
    <tableColumn id="2" name="Unnamed: 1"/>
    <tableColumn id="3" name="Unnamed: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Dataset_Financas_Complementar_V" displayName="Tbl_Dataset_Financas_Complementar_V" ref="A1:I121" totalsRowShown="0">
  <autoFilter ref="A1:I121"/>
  <tableColumns count="9">
    <tableColumn id="1" name="Data"/>
    <tableColumn id="2" name="Regiao"/>
    <tableColumn id="3" name="Produto"/>
    <tableColumn id="4" name="Vendedor"/>
    <tableColumn id="5" name="Quantidade"/>
    <tableColumn id="6" name="Valor_Unitario"/>
    <tableColumn id="7" name="Valor_Total"/>
    <tableColumn id="8" name="Cost Center"/>
    <tableColumn id="9" name="G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Dataset_Financas_Complementar_1" displayName="Tbl_Dataset_Financas_Complementar_1" ref="A1:L121" totalsRowShown="0">
  <autoFilter ref="A1:L121"/>
  <tableColumns count="12">
    <tableColumn id="1" name="Data"/>
    <tableColumn id="2" name="Regiao"/>
    <tableColumn id="3" name="Produto"/>
    <tableColumn id="4" name="Vendedor"/>
    <tableColumn id="5" name="Quantidade"/>
    <tableColumn id="6" name="Valor_Unitario"/>
    <tableColumn id="7" name="Valor_Total"/>
    <tableColumn id="8" name="Cost Center"/>
    <tableColumn id="9" name="GL"/>
    <tableColumn id="10" name="Categoria"/>
    <tableColumn id="11" name="Fornecedor"/>
    <tableColumn id="12" name="Ativ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Dataset_Financas_Complementar_P" displayName="Tbl_Dataset_Financas_Complementar_P" ref="A1:H7" totalsRowShown="0">
  <autoFilter ref="A1:H7"/>
  <tableColumns count="8">
    <tableColumn id="1" name="Produto"/>
    <tableColumn id="2" name="Categoria"/>
    <tableColumn id="3" name="Fornecedor"/>
    <tableColumn id="4" name="Preco_Lista"/>
    <tableColumn id="5" name="Custo_Unitario"/>
    <tableColumn id="6" name="Margem_Pct"/>
    <tableColumn id="7" name="Data_Lancamento"/>
    <tableColumn id="8" name="Ativ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Dataset_Financas_Complementar_2" displayName="Tbl_Dataset_Financas_Complementar_2" ref="A1:H8" totalsRowShown="0">
  <autoFilter ref="A1:H8"/>
  <tableColumns count="8">
    <tableColumn id="1" name="Vendedor"/>
    <tableColumn id="2" name="Regiao"/>
    <tableColumn id="3" name="Produto_Foco"/>
    <tableColumn id="4" name="Gerente"/>
    <tableColumn id="5" name="Cargo"/>
    <tableColumn id="6" name="Data_Admissao"/>
    <tableColumn id="7" name="Comissao_Pct"/>
    <tableColumn id="8" name="Salario_Bas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Dataset_Financas_Complementar_C" displayName="Tbl_Dataset_Financas_Complementar_C" ref="A1:E5" totalsRowShown="0">
  <autoFilter ref="A1:E5"/>
  <tableColumns count="5">
    <tableColumn id="1" name="Cost Center"/>
    <tableColumn id="2" name="Descricao"/>
    <tableColumn id="3" name="Area"/>
    <tableColumn id="4" name="Responsavel"/>
    <tableColumn id="5" name="Meta_Receita_Semest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Dataset_Financas_Complementar_3" displayName="Tbl_Dataset_Financas_Complementar_3" ref="A1:D5" totalsRowShown="0">
  <autoFilter ref="A1:D5"/>
  <tableColumns count="4">
    <tableColumn id="1" name="GL"/>
    <tableColumn id="2" name="Descricao_GL"/>
    <tableColumn id="3" name="Tipo_Conta"/>
    <tableColumn id="4" name="Naturez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Dataset_Financas_Complementar_M" displayName="Tbl_Dataset_Financas_Complementar_M" ref="A1:F25" totalsRowShown="0">
  <autoFilter ref="A1:F25"/>
  <tableColumns count="6">
    <tableColumn id="1" name="Mes"/>
    <tableColumn id="2" name="Regiao"/>
    <tableColumn id="3" name="Produto"/>
    <tableColumn id="4" name="Meta_Quantidade"/>
    <tableColumn id="5" name="Preco_Lista"/>
    <tableColumn id="6" name="Meta_Valo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Dataset_Financas_Complementar_F" displayName="Tbl_Dataset_Financas_Complementar_F" ref="A1:C8" totalsRowShown="0">
  <autoFilter ref="A1:C8"/>
  <tableColumns count="3">
    <tableColumn id="1" name="Data"/>
    <tableColumn id="2" name="Feriado"/>
    <tableColumn id="3" name="Tip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Dataset_Financas_Complementar_4" displayName="Tbl_Dataset_Financas_Complementar_4" ref="A1:C5" totalsRowShown="0">
  <autoFilter ref="A1:C5"/>
  <tableColumns count="3">
    <tableColumn id="1" name="Atingimento_Min"/>
    <tableColumn id="2" name="Bonus_Pct"/>
    <tableColumn id="3" name="Classificaca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_Dataset_Financas_Complementar_E" displayName="Tbl_Dataset_Financas_Complementar_E" ref="A1:E27" totalsRowShown="0">
  <autoFilter ref="A1:E27"/>
  <tableColumns count="5">
    <tableColumn id="1" name="Nº"/>
    <tableColumn id="2" name="Nível"/>
    <tableColumn id="3" name="Funções-chave"/>
    <tableColumn id="4" name="Enunciado"/>
    <tableColumn id="5" name="Sua respost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_Dataset_Financas_Complementar_G" displayName="Tbl_Dataset_Financas_Complementar_G" ref="A1:D27" totalsRowShown="0">
  <autoFilter ref="A1:D27"/>
  <tableColumns count="4">
    <tableColumn id="1" name="Nº"/>
    <tableColumn id="2" name="Nível"/>
    <tableColumn id="3" name="Fórmula (Excel PT-BR)"/>
    <tableColumn id="4" name="Resul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>
        <v>1</v>
      </c>
    </row>
    <row r="5" spans="1:2">
      <c r="A5" t="s">
        <v>5</v>
      </c>
      <c r="B5" t="s">
        <v>14</v>
      </c>
    </row>
    <row r="6" spans="1:2">
      <c r="A6" t="s">
        <v>6</v>
      </c>
      <c r="B6">
        <v>11</v>
      </c>
    </row>
    <row r="7" spans="1:2">
      <c r="A7" t="s">
        <v>7</v>
      </c>
      <c r="B7">
        <v>251</v>
      </c>
    </row>
    <row r="8" spans="1:2">
      <c r="A8" t="s">
        <v>8</v>
      </c>
      <c r="B8">
        <v>61</v>
      </c>
    </row>
    <row r="9" spans="1:2">
      <c r="A9" t="s">
        <v>9</v>
      </c>
      <c r="B9">
        <v>47</v>
      </c>
    </row>
    <row r="10" spans="1:2">
      <c r="A10" t="s">
        <v>10</v>
      </c>
      <c r="B10">
        <v>2</v>
      </c>
    </row>
    <row r="11" spans="1:2">
      <c r="A11" t="s">
        <v>11</v>
      </c>
      <c r="B11">
        <v>1</v>
      </c>
    </row>
  </sheetData>
  <autoFilter ref="A1:B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2.7109375" style="2" customWidth="1"/>
    <col min="3" max="3" width="50.7109375" customWidth="1"/>
    <col min="4" max="5" width="12.7109375" customWidth="1"/>
    <col min="6" max="6" width="13.7109375" style="2" customWidth="1"/>
    <col min="7" max="7" width="12.7109375" style="2" customWidth="1"/>
    <col min="8" max="8" width="12.7109375" style="3" customWidth="1"/>
    <col min="9" max="9" width="12.7109375" style="2" customWidth="1"/>
    <col min="10" max="10" width="50.7109375" customWidth="1"/>
  </cols>
  <sheetData>
    <row r="1" spans="1:10">
      <c r="A1" t="s">
        <v>15</v>
      </c>
      <c r="B1" s="2" t="s">
        <v>16</v>
      </c>
      <c r="C1" t="s">
        <v>17</v>
      </c>
      <c r="D1" t="s">
        <v>18</v>
      </c>
      <c r="E1" t="s">
        <v>19</v>
      </c>
      <c r="F1" s="2" t="s">
        <v>20</v>
      </c>
      <c r="G1" s="2" t="s">
        <v>21</v>
      </c>
      <c r="H1" s="3" t="s">
        <v>22</v>
      </c>
      <c r="I1" s="2" t="s">
        <v>23</v>
      </c>
      <c r="J1" t="s">
        <v>24</v>
      </c>
    </row>
    <row r="2" spans="1:10">
      <c r="A2" t="s">
        <v>25</v>
      </c>
      <c r="B2" s="2">
        <v>1</v>
      </c>
      <c r="C2" t="s">
        <v>36</v>
      </c>
      <c r="D2" t="s">
        <v>81</v>
      </c>
      <c r="E2" t="s">
        <v>85</v>
      </c>
      <c r="F2" s="2">
        <v>20</v>
      </c>
      <c r="G2" s="2">
        <v>3</v>
      </c>
      <c r="H2" s="3">
        <v>13.04</v>
      </c>
      <c r="I2" s="2">
        <v>16</v>
      </c>
      <c r="J2" t="s">
        <v>87</v>
      </c>
    </row>
    <row r="3" spans="1:10">
      <c r="A3" t="s">
        <v>25</v>
      </c>
      <c r="B3" s="2">
        <v>2</v>
      </c>
      <c r="C3" t="s">
        <v>37</v>
      </c>
      <c r="D3" t="s">
        <v>81</v>
      </c>
      <c r="E3" t="s">
        <v>85</v>
      </c>
      <c r="F3" s="2">
        <v>17</v>
      </c>
      <c r="G3" s="2">
        <v>6</v>
      </c>
      <c r="H3" s="3">
        <v>26.09</v>
      </c>
      <c r="I3" s="2">
        <v>17</v>
      </c>
      <c r="J3" t="s">
        <v>88</v>
      </c>
    </row>
    <row r="4" spans="1:10">
      <c r="A4" t="s">
        <v>25</v>
      </c>
      <c r="B4" s="2">
        <v>3</v>
      </c>
      <c r="C4" t="s">
        <v>38</v>
      </c>
      <c r="D4" t="s">
        <v>81</v>
      </c>
      <c r="E4" t="s">
        <v>85</v>
      </c>
      <c r="F4" s="2">
        <v>11</v>
      </c>
      <c r="G4" s="2">
        <v>12</v>
      </c>
      <c r="H4" s="3">
        <v>52.17</v>
      </c>
      <c r="I4" s="2">
        <v>9</v>
      </c>
      <c r="J4" t="s">
        <v>89</v>
      </c>
    </row>
    <row r="5" spans="1:10">
      <c r="A5" t="s">
        <v>26</v>
      </c>
      <c r="B5" s="2">
        <v>1</v>
      </c>
      <c r="C5" t="s">
        <v>39</v>
      </c>
      <c r="D5" t="s">
        <v>81</v>
      </c>
      <c r="E5" t="s">
        <v>85</v>
      </c>
      <c r="F5" s="2">
        <v>120</v>
      </c>
      <c r="G5" s="2">
        <v>0</v>
      </c>
      <c r="H5" s="3">
        <v>0</v>
      </c>
      <c r="I5" s="2">
        <v>120</v>
      </c>
      <c r="J5" t="s">
        <v>90</v>
      </c>
    </row>
    <row r="6" spans="1:10">
      <c r="A6" t="s">
        <v>26</v>
      </c>
      <c r="B6" s="2">
        <v>2</v>
      </c>
      <c r="C6" t="s">
        <v>40</v>
      </c>
      <c r="D6" t="s">
        <v>81</v>
      </c>
      <c r="E6" t="s">
        <v>85</v>
      </c>
      <c r="F6" s="2">
        <v>120</v>
      </c>
      <c r="G6" s="2">
        <v>0</v>
      </c>
      <c r="H6" s="3">
        <v>0</v>
      </c>
      <c r="I6" s="2">
        <v>4</v>
      </c>
      <c r="J6" t="s">
        <v>91</v>
      </c>
    </row>
    <row r="7" spans="1:10">
      <c r="A7" t="s">
        <v>26</v>
      </c>
      <c r="B7" s="2">
        <v>3</v>
      </c>
      <c r="C7" t="s">
        <v>41</v>
      </c>
      <c r="D7" t="s">
        <v>81</v>
      </c>
      <c r="E7" t="s">
        <v>85</v>
      </c>
      <c r="F7" s="2">
        <v>120</v>
      </c>
      <c r="G7" s="2">
        <v>0</v>
      </c>
      <c r="H7" s="3">
        <v>0</v>
      </c>
      <c r="I7" s="2">
        <v>4</v>
      </c>
      <c r="J7" t="s">
        <v>92</v>
      </c>
    </row>
    <row r="8" spans="1:10">
      <c r="A8" t="s">
        <v>26</v>
      </c>
      <c r="B8" s="2">
        <v>4</v>
      </c>
      <c r="C8" t="s">
        <v>42</v>
      </c>
      <c r="D8" t="s">
        <v>81</v>
      </c>
      <c r="E8" t="s">
        <v>85</v>
      </c>
      <c r="F8" s="2">
        <v>120</v>
      </c>
      <c r="G8" s="2">
        <v>0</v>
      </c>
      <c r="H8" s="3">
        <v>0</v>
      </c>
      <c r="I8" s="2">
        <v>4</v>
      </c>
      <c r="J8" t="s">
        <v>93</v>
      </c>
    </row>
    <row r="9" spans="1:10">
      <c r="A9" t="s">
        <v>26</v>
      </c>
      <c r="B9" s="2">
        <v>5</v>
      </c>
      <c r="C9" t="s">
        <v>43</v>
      </c>
      <c r="D9" t="s">
        <v>82</v>
      </c>
      <c r="E9" t="s">
        <v>86</v>
      </c>
      <c r="F9" s="2">
        <v>120</v>
      </c>
      <c r="G9" s="2">
        <v>0</v>
      </c>
      <c r="H9" s="3">
        <v>0</v>
      </c>
      <c r="I9" s="2">
        <v>5</v>
      </c>
      <c r="J9" t="s">
        <v>94</v>
      </c>
    </row>
    <row r="10" spans="1:10">
      <c r="A10" t="s">
        <v>26</v>
      </c>
      <c r="B10" s="2">
        <v>6</v>
      </c>
      <c r="C10" t="s">
        <v>44</v>
      </c>
      <c r="D10" t="s">
        <v>82</v>
      </c>
      <c r="E10" t="s">
        <v>86</v>
      </c>
      <c r="F10" s="2">
        <v>120</v>
      </c>
      <c r="G10" s="2">
        <v>0</v>
      </c>
      <c r="H10" s="3">
        <v>0</v>
      </c>
      <c r="I10" s="2">
        <v>4</v>
      </c>
      <c r="J10" t="s">
        <v>95</v>
      </c>
    </row>
    <row r="11" spans="1:10">
      <c r="A11" t="s">
        <v>26</v>
      </c>
      <c r="B11" s="2">
        <v>7</v>
      </c>
      <c r="C11" t="s">
        <v>45</v>
      </c>
      <c r="D11" t="s">
        <v>82</v>
      </c>
      <c r="E11" t="s">
        <v>86</v>
      </c>
      <c r="F11" s="2">
        <v>120</v>
      </c>
      <c r="G11" s="2">
        <v>0</v>
      </c>
      <c r="H11" s="3">
        <v>0</v>
      </c>
      <c r="I11" s="2">
        <v>13</v>
      </c>
      <c r="J11" t="s">
        <v>96</v>
      </c>
    </row>
    <row r="12" spans="1:10">
      <c r="A12" t="s">
        <v>26</v>
      </c>
      <c r="B12" s="2">
        <v>8</v>
      </c>
      <c r="C12" t="s">
        <v>46</v>
      </c>
      <c r="D12" t="s">
        <v>81</v>
      </c>
      <c r="E12" t="s">
        <v>85</v>
      </c>
      <c r="F12" s="2">
        <v>120</v>
      </c>
      <c r="G12" s="2">
        <v>0</v>
      </c>
      <c r="H12" s="3">
        <v>0</v>
      </c>
      <c r="I12" s="2">
        <v>3</v>
      </c>
      <c r="J12" t="s">
        <v>97</v>
      </c>
    </row>
    <row r="13" spans="1:10">
      <c r="A13" t="s">
        <v>26</v>
      </c>
      <c r="B13" s="2">
        <v>9</v>
      </c>
      <c r="C13" t="s">
        <v>47</v>
      </c>
      <c r="D13" t="s">
        <v>82</v>
      </c>
      <c r="E13" t="s">
        <v>86</v>
      </c>
      <c r="F13" s="2">
        <v>120</v>
      </c>
      <c r="G13" s="2">
        <v>0</v>
      </c>
      <c r="H13" s="3">
        <v>0</v>
      </c>
      <c r="I13" s="2">
        <v>3</v>
      </c>
      <c r="J13" t="s">
        <v>98</v>
      </c>
    </row>
    <row r="14" spans="1:10">
      <c r="A14" t="s">
        <v>26</v>
      </c>
      <c r="B14" s="2">
        <v>10</v>
      </c>
      <c r="C14" t="s">
        <v>19</v>
      </c>
      <c r="D14" t="s">
        <v>81</v>
      </c>
      <c r="E14" t="s">
        <v>85</v>
      </c>
      <c r="F14" s="2">
        <v>120</v>
      </c>
      <c r="G14" s="2">
        <v>0</v>
      </c>
      <c r="H14" s="3">
        <v>0</v>
      </c>
      <c r="I14" s="2">
        <v>4</v>
      </c>
      <c r="J14" t="s">
        <v>99</v>
      </c>
    </row>
    <row r="15" spans="1:10">
      <c r="A15" t="s">
        <v>26</v>
      </c>
      <c r="B15" s="2">
        <v>11</v>
      </c>
      <c r="C15" t="s">
        <v>48</v>
      </c>
      <c r="D15" t="s">
        <v>81</v>
      </c>
      <c r="E15" t="s">
        <v>85</v>
      </c>
      <c r="F15" s="2">
        <v>120</v>
      </c>
      <c r="G15" s="2">
        <v>0</v>
      </c>
      <c r="H15" s="3">
        <v>0</v>
      </c>
      <c r="I15" s="2">
        <v>1</v>
      </c>
      <c r="J15" t="s">
        <v>100</v>
      </c>
    </row>
    <row r="16" spans="1:10">
      <c r="A16" t="s">
        <v>26</v>
      </c>
      <c r="B16" s="2">
        <v>12</v>
      </c>
      <c r="C16" t="s">
        <v>49</v>
      </c>
      <c r="D16" t="s">
        <v>81</v>
      </c>
      <c r="E16" t="s">
        <v>85</v>
      </c>
      <c r="F16" s="2">
        <v>120</v>
      </c>
      <c r="G16" s="2">
        <v>0</v>
      </c>
      <c r="H16" s="3">
        <v>0</v>
      </c>
      <c r="I16" s="2">
        <v>1</v>
      </c>
      <c r="J16" t="s">
        <v>101</v>
      </c>
    </row>
    <row r="17" spans="1:10">
      <c r="A17" t="s">
        <v>27</v>
      </c>
      <c r="B17" s="2">
        <v>1</v>
      </c>
      <c r="C17" t="s">
        <v>41</v>
      </c>
      <c r="D17" t="s">
        <v>81</v>
      </c>
      <c r="E17" t="s">
        <v>85</v>
      </c>
      <c r="F17" s="2">
        <v>6</v>
      </c>
      <c r="G17" s="2">
        <v>0</v>
      </c>
      <c r="H17" s="3">
        <v>0</v>
      </c>
      <c r="I17" s="2">
        <v>6</v>
      </c>
      <c r="J17" t="s">
        <v>92</v>
      </c>
    </row>
    <row r="18" spans="1:10">
      <c r="A18" t="s">
        <v>27</v>
      </c>
      <c r="B18" s="2">
        <v>2</v>
      </c>
      <c r="C18" t="s">
        <v>19</v>
      </c>
      <c r="D18" t="s">
        <v>81</v>
      </c>
      <c r="E18" t="s">
        <v>85</v>
      </c>
      <c r="F18" s="2">
        <v>6</v>
      </c>
      <c r="G18" s="2">
        <v>0</v>
      </c>
      <c r="H18" s="3">
        <v>0</v>
      </c>
      <c r="I18" s="2">
        <v>5</v>
      </c>
      <c r="J18" t="s">
        <v>99</v>
      </c>
    </row>
    <row r="19" spans="1:10">
      <c r="A19" t="s">
        <v>27</v>
      </c>
      <c r="B19" s="2">
        <v>3</v>
      </c>
      <c r="C19" t="s">
        <v>48</v>
      </c>
      <c r="D19" t="s">
        <v>81</v>
      </c>
      <c r="E19" t="s">
        <v>85</v>
      </c>
      <c r="F19" s="2">
        <v>6</v>
      </c>
      <c r="G19" s="2">
        <v>0</v>
      </c>
      <c r="H19" s="3">
        <v>0</v>
      </c>
      <c r="I19" s="2">
        <v>1</v>
      </c>
      <c r="J19" t="s">
        <v>100</v>
      </c>
    </row>
    <row r="20" spans="1:10">
      <c r="A20" t="s">
        <v>27</v>
      </c>
      <c r="B20" s="2">
        <v>4</v>
      </c>
      <c r="C20" t="s">
        <v>50</v>
      </c>
      <c r="D20" t="s">
        <v>82</v>
      </c>
      <c r="E20" t="s">
        <v>86</v>
      </c>
      <c r="F20" s="2">
        <v>6</v>
      </c>
      <c r="G20" s="2">
        <v>0</v>
      </c>
      <c r="H20" s="3">
        <v>0</v>
      </c>
      <c r="I20" s="2">
        <v>6</v>
      </c>
      <c r="J20" t="s">
        <v>95</v>
      </c>
    </row>
    <row r="21" spans="1:10">
      <c r="A21" t="s">
        <v>27</v>
      </c>
      <c r="B21" s="2">
        <v>5</v>
      </c>
      <c r="C21" t="s">
        <v>51</v>
      </c>
      <c r="D21" t="s">
        <v>82</v>
      </c>
      <c r="E21" t="s">
        <v>86</v>
      </c>
      <c r="F21" s="2">
        <v>6</v>
      </c>
      <c r="G21" s="2">
        <v>0</v>
      </c>
      <c r="H21" s="3">
        <v>0</v>
      </c>
      <c r="I21" s="2">
        <v>6</v>
      </c>
      <c r="J21" t="s">
        <v>102</v>
      </c>
    </row>
    <row r="22" spans="1:10">
      <c r="A22" t="s">
        <v>27</v>
      </c>
      <c r="B22" s="2">
        <v>6</v>
      </c>
      <c r="C22" t="s">
        <v>52</v>
      </c>
      <c r="D22" t="s">
        <v>82</v>
      </c>
      <c r="E22" t="s">
        <v>86</v>
      </c>
      <c r="F22" s="2">
        <v>6</v>
      </c>
      <c r="G22" s="2">
        <v>0</v>
      </c>
      <c r="H22" s="3">
        <v>0</v>
      </c>
      <c r="I22" s="2">
        <v>4</v>
      </c>
      <c r="J22" t="s">
        <v>103</v>
      </c>
    </row>
    <row r="23" spans="1:10">
      <c r="A23" t="s">
        <v>27</v>
      </c>
      <c r="B23" s="2">
        <v>7</v>
      </c>
      <c r="C23" t="s">
        <v>53</v>
      </c>
      <c r="D23" t="s">
        <v>83</v>
      </c>
      <c r="E23" t="s">
        <v>83</v>
      </c>
      <c r="F23" s="2">
        <v>6</v>
      </c>
      <c r="G23" s="2">
        <v>0</v>
      </c>
      <c r="H23" s="3">
        <v>0</v>
      </c>
      <c r="I23" s="2">
        <v>6</v>
      </c>
      <c r="J23" t="s">
        <v>104</v>
      </c>
    </row>
    <row r="24" spans="1:10">
      <c r="A24" t="s">
        <v>27</v>
      </c>
      <c r="B24" s="2">
        <v>8</v>
      </c>
      <c r="C24" t="s">
        <v>49</v>
      </c>
      <c r="D24" t="s">
        <v>81</v>
      </c>
      <c r="E24" t="s">
        <v>85</v>
      </c>
      <c r="F24" s="2">
        <v>6</v>
      </c>
      <c r="G24" s="2">
        <v>0</v>
      </c>
      <c r="H24" s="3">
        <v>0</v>
      </c>
      <c r="I24" s="2">
        <v>2</v>
      </c>
      <c r="J24" t="s">
        <v>105</v>
      </c>
    </row>
    <row r="25" spans="1:10">
      <c r="A25" t="s">
        <v>28</v>
      </c>
      <c r="B25" s="2">
        <v>1</v>
      </c>
      <c r="C25" t="s">
        <v>42</v>
      </c>
      <c r="D25" t="s">
        <v>81</v>
      </c>
      <c r="E25" t="s">
        <v>85</v>
      </c>
      <c r="F25" s="2">
        <v>7</v>
      </c>
      <c r="G25" s="2">
        <v>0</v>
      </c>
      <c r="H25" s="3">
        <v>0</v>
      </c>
      <c r="I25" s="2">
        <v>7</v>
      </c>
      <c r="J25" t="s">
        <v>93</v>
      </c>
    </row>
    <row r="26" spans="1:10">
      <c r="A26" t="s">
        <v>28</v>
      </c>
      <c r="B26" s="2">
        <v>2</v>
      </c>
      <c r="C26" t="s">
        <v>40</v>
      </c>
      <c r="D26" t="s">
        <v>81</v>
      </c>
      <c r="E26" t="s">
        <v>85</v>
      </c>
      <c r="F26" s="2">
        <v>7</v>
      </c>
      <c r="G26" s="2">
        <v>0</v>
      </c>
      <c r="H26" s="3">
        <v>0</v>
      </c>
      <c r="I26" s="2">
        <v>4</v>
      </c>
      <c r="J26" t="s">
        <v>91</v>
      </c>
    </row>
    <row r="27" spans="1:10">
      <c r="A27" t="s">
        <v>28</v>
      </c>
      <c r="B27" s="2">
        <v>3</v>
      </c>
      <c r="C27" t="s">
        <v>54</v>
      </c>
      <c r="D27" t="s">
        <v>81</v>
      </c>
      <c r="E27" t="s">
        <v>85</v>
      </c>
      <c r="F27" s="2">
        <v>7</v>
      </c>
      <c r="G27" s="2">
        <v>0</v>
      </c>
      <c r="H27" s="3">
        <v>0</v>
      </c>
      <c r="I27" s="2">
        <v>6</v>
      </c>
      <c r="J27" t="s">
        <v>92</v>
      </c>
    </row>
    <row r="28" spans="1:10">
      <c r="A28" t="s">
        <v>28</v>
      </c>
      <c r="B28" s="2">
        <v>4</v>
      </c>
      <c r="C28" t="s">
        <v>55</v>
      </c>
      <c r="D28" t="s">
        <v>81</v>
      </c>
      <c r="E28" t="s">
        <v>85</v>
      </c>
      <c r="F28" s="2">
        <v>7</v>
      </c>
      <c r="G28" s="2">
        <v>0</v>
      </c>
      <c r="H28" s="3">
        <v>0</v>
      </c>
      <c r="I28" s="2">
        <v>2</v>
      </c>
      <c r="J28" t="s">
        <v>106</v>
      </c>
    </row>
    <row r="29" spans="1:10">
      <c r="A29" t="s">
        <v>28</v>
      </c>
      <c r="B29" s="2">
        <v>5</v>
      </c>
      <c r="C29" t="s">
        <v>56</v>
      </c>
      <c r="D29" t="s">
        <v>81</v>
      </c>
      <c r="E29" t="s">
        <v>85</v>
      </c>
      <c r="F29" s="2">
        <v>7</v>
      </c>
      <c r="G29" s="2">
        <v>0</v>
      </c>
      <c r="H29" s="3">
        <v>0</v>
      </c>
      <c r="I29" s="2">
        <v>3</v>
      </c>
      <c r="J29" t="s">
        <v>107</v>
      </c>
    </row>
    <row r="30" spans="1:10">
      <c r="A30" t="s">
        <v>28</v>
      </c>
      <c r="B30" s="2">
        <v>6</v>
      </c>
      <c r="C30" t="s">
        <v>57</v>
      </c>
      <c r="D30" t="s">
        <v>83</v>
      </c>
      <c r="E30" t="s">
        <v>83</v>
      </c>
      <c r="F30" s="2">
        <v>7</v>
      </c>
      <c r="G30" s="2">
        <v>0</v>
      </c>
      <c r="H30" s="3">
        <v>0</v>
      </c>
      <c r="I30" s="2">
        <v>7</v>
      </c>
      <c r="J30" t="s">
        <v>108</v>
      </c>
    </row>
    <row r="31" spans="1:10">
      <c r="A31" t="s">
        <v>28</v>
      </c>
      <c r="B31" s="2">
        <v>7</v>
      </c>
      <c r="C31" t="s">
        <v>58</v>
      </c>
      <c r="D31" t="s">
        <v>82</v>
      </c>
      <c r="E31" t="s">
        <v>86</v>
      </c>
      <c r="F31" s="2">
        <v>7</v>
      </c>
      <c r="G31" s="2">
        <v>0</v>
      </c>
      <c r="H31" s="3">
        <v>0</v>
      </c>
      <c r="I31" s="2">
        <v>4</v>
      </c>
      <c r="J31" t="s">
        <v>109</v>
      </c>
    </row>
    <row r="32" spans="1:10">
      <c r="A32" t="s">
        <v>28</v>
      </c>
      <c r="B32" s="2">
        <v>8</v>
      </c>
      <c r="C32" t="s">
        <v>59</v>
      </c>
      <c r="D32" t="s">
        <v>82</v>
      </c>
      <c r="E32" t="s">
        <v>86</v>
      </c>
      <c r="F32" s="2">
        <v>7</v>
      </c>
      <c r="G32" s="2">
        <v>0</v>
      </c>
      <c r="H32" s="3">
        <v>0</v>
      </c>
      <c r="I32" s="2">
        <v>6</v>
      </c>
      <c r="J32" t="s">
        <v>110</v>
      </c>
    </row>
    <row r="33" spans="1:10">
      <c r="A33" t="s">
        <v>29</v>
      </c>
      <c r="B33" s="2">
        <v>1</v>
      </c>
      <c r="C33" t="s">
        <v>46</v>
      </c>
      <c r="D33" t="s">
        <v>81</v>
      </c>
      <c r="E33" t="s">
        <v>85</v>
      </c>
      <c r="F33" s="2">
        <v>4</v>
      </c>
      <c r="G33" s="2">
        <v>0</v>
      </c>
      <c r="H33" s="3">
        <v>0</v>
      </c>
      <c r="I33" s="2">
        <v>4</v>
      </c>
      <c r="J33" t="s">
        <v>111</v>
      </c>
    </row>
    <row r="34" spans="1:10">
      <c r="A34" t="s">
        <v>29</v>
      </c>
      <c r="B34" s="2">
        <v>2</v>
      </c>
      <c r="C34" t="s">
        <v>60</v>
      </c>
      <c r="D34" t="s">
        <v>81</v>
      </c>
      <c r="E34" t="s">
        <v>85</v>
      </c>
      <c r="F34" s="2">
        <v>4</v>
      </c>
      <c r="G34" s="2">
        <v>0</v>
      </c>
      <c r="H34" s="3">
        <v>0</v>
      </c>
      <c r="I34" s="2">
        <v>4</v>
      </c>
      <c r="J34" t="s">
        <v>112</v>
      </c>
    </row>
    <row r="35" spans="1:10">
      <c r="A35" t="s">
        <v>29</v>
      </c>
      <c r="B35" s="2">
        <v>3</v>
      </c>
      <c r="C35" t="s">
        <v>61</v>
      </c>
      <c r="D35" t="s">
        <v>81</v>
      </c>
      <c r="E35" t="s">
        <v>85</v>
      </c>
      <c r="F35" s="2">
        <v>4</v>
      </c>
      <c r="G35" s="2">
        <v>0</v>
      </c>
      <c r="H35" s="3">
        <v>0</v>
      </c>
      <c r="I35" s="2">
        <v>2</v>
      </c>
      <c r="J35" t="s">
        <v>113</v>
      </c>
    </row>
    <row r="36" spans="1:10">
      <c r="A36" t="s">
        <v>29</v>
      </c>
      <c r="B36" s="2">
        <v>4</v>
      </c>
      <c r="C36" t="s">
        <v>62</v>
      </c>
      <c r="D36" t="s">
        <v>81</v>
      </c>
      <c r="E36" t="s">
        <v>85</v>
      </c>
      <c r="F36" s="2">
        <v>4</v>
      </c>
      <c r="G36" s="2">
        <v>0</v>
      </c>
      <c r="H36" s="3">
        <v>0</v>
      </c>
      <c r="I36" s="2">
        <v>4</v>
      </c>
      <c r="J36" t="s">
        <v>114</v>
      </c>
    </row>
    <row r="37" spans="1:10">
      <c r="A37" t="s">
        <v>29</v>
      </c>
      <c r="B37" s="2">
        <v>5</v>
      </c>
      <c r="C37" t="s">
        <v>63</v>
      </c>
      <c r="D37" t="s">
        <v>82</v>
      </c>
      <c r="E37" t="s">
        <v>86</v>
      </c>
      <c r="F37" s="2">
        <v>4</v>
      </c>
      <c r="G37" s="2">
        <v>0</v>
      </c>
      <c r="H37" s="3">
        <v>0</v>
      </c>
      <c r="I37" s="2">
        <v>4</v>
      </c>
      <c r="J37" t="s">
        <v>115</v>
      </c>
    </row>
    <row r="38" spans="1:10">
      <c r="A38" t="s">
        <v>30</v>
      </c>
      <c r="B38" s="2">
        <v>1</v>
      </c>
      <c r="C38" t="s">
        <v>47</v>
      </c>
      <c r="D38" t="s">
        <v>82</v>
      </c>
      <c r="E38" t="s">
        <v>86</v>
      </c>
      <c r="F38" s="2">
        <v>4</v>
      </c>
      <c r="G38" s="2">
        <v>0</v>
      </c>
      <c r="H38" s="3">
        <v>0</v>
      </c>
      <c r="I38" s="2">
        <v>4</v>
      </c>
      <c r="J38" t="s">
        <v>116</v>
      </c>
    </row>
    <row r="39" spans="1:10">
      <c r="A39" t="s">
        <v>30</v>
      </c>
      <c r="B39" s="2">
        <v>2</v>
      </c>
      <c r="C39" t="s">
        <v>64</v>
      </c>
      <c r="D39" t="s">
        <v>81</v>
      </c>
      <c r="E39" t="s">
        <v>85</v>
      </c>
      <c r="F39" s="2">
        <v>4</v>
      </c>
      <c r="G39" s="2">
        <v>0</v>
      </c>
      <c r="H39" s="3">
        <v>0</v>
      </c>
      <c r="I39" s="2">
        <v>4</v>
      </c>
      <c r="J39" t="s">
        <v>117</v>
      </c>
    </row>
    <row r="40" spans="1:10">
      <c r="A40" t="s">
        <v>30</v>
      </c>
      <c r="B40" s="2">
        <v>3</v>
      </c>
      <c r="C40" t="s">
        <v>65</v>
      </c>
      <c r="D40" t="s">
        <v>81</v>
      </c>
      <c r="E40" t="s">
        <v>85</v>
      </c>
      <c r="F40" s="2">
        <v>4</v>
      </c>
      <c r="G40" s="2">
        <v>0</v>
      </c>
      <c r="H40" s="3">
        <v>0</v>
      </c>
      <c r="I40" s="2">
        <v>1</v>
      </c>
      <c r="J40" t="s">
        <v>118</v>
      </c>
    </row>
    <row r="41" spans="1:10">
      <c r="A41" t="s">
        <v>30</v>
      </c>
      <c r="B41" s="2">
        <v>4</v>
      </c>
      <c r="C41" t="s">
        <v>66</v>
      </c>
      <c r="D41" t="s">
        <v>81</v>
      </c>
      <c r="E41" t="s">
        <v>85</v>
      </c>
      <c r="F41" s="2">
        <v>4</v>
      </c>
      <c r="G41" s="2">
        <v>0</v>
      </c>
      <c r="H41" s="3">
        <v>0</v>
      </c>
      <c r="I41" s="2">
        <v>1</v>
      </c>
      <c r="J41" t="s">
        <v>119</v>
      </c>
    </row>
    <row r="42" spans="1:10">
      <c r="A42" t="s">
        <v>31</v>
      </c>
      <c r="B42" s="2">
        <v>1</v>
      </c>
      <c r="C42" t="s">
        <v>67</v>
      </c>
      <c r="D42" t="s">
        <v>83</v>
      </c>
      <c r="E42" t="s">
        <v>83</v>
      </c>
      <c r="F42" s="2">
        <v>24</v>
      </c>
      <c r="G42" s="2">
        <v>0</v>
      </c>
      <c r="H42" s="3">
        <v>0</v>
      </c>
      <c r="I42" s="2">
        <v>6</v>
      </c>
      <c r="J42" t="s">
        <v>120</v>
      </c>
    </row>
    <row r="43" spans="1:10">
      <c r="A43" t="s">
        <v>31</v>
      </c>
      <c r="B43" s="2">
        <v>2</v>
      </c>
      <c r="C43" t="s">
        <v>40</v>
      </c>
      <c r="D43" t="s">
        <v>81</v>
      </c>
      <c r="E43" t="s">
        <v>85</v>
      </c>
      <c r="F43" s="2">
        <v>24</v>
      </c>
      <c r="G43" s="2">
        <v>0</v>
      </c>
      <c r="H43" s="3">
        <v>0</v>
      </c>
      <c r="I43" s="2">
        <v>4</v>
      </c>
      <c r="J43" t="s">
        <v>91</v>
      </c>
    </row>
    <row r="44" spans="1:10">
      <c r="A44" t="s">
        <v>31</v>
      </c>
      <c r="B44" s="2">
        <v>3</v>
      </c>
      <c r="C44" t="s">
        <v>41</v>
      </c>
      <c r="D44" t="s">
        <v>81</v>
      </c>
      <c r="E44" t="s">
        <v>85</v>
      </c>
      <c r="F44" s="2">
        <v>24</v>
      </c>
      <c r="G44" s="2">
        <v>0</v>
      </c>
      <c r="H44" s="3">
        <v>0</v>
      </c>
      <c r="I44" s="2">
        <v>4</v>
      </c>
      <c r="J44" t="s">
        <v>92</v>
      </c>
    </row>
    <row r="45" spans="1:10">
      <c r="A45" t="s">
        <v>31</v>
      </c>
      <c r="B45" s="2">
        <v>4</v>
      </c>
      <c r="C45" t="s">
        <v>68</v>
      </c>
      <c r="D45" t="s">
        <v>82</v>
      </c>
      <c r="E45" t="s">
        <v>86</v>
      </c>
      <c r="F45" s="2">
        <v>24</v>
      </c>
      <c r="G45" s="2">
        <v>0</v>
      </c>
      <c r="H45" s="3">
        <v>0</v>
      </c>
      <c r="I45" s="2">
        <v>8</v>
      </c>
      <c r="J45" t="s">
        <v>121</v>
      </c>
    </row>
    <row r="46" spans="1:10">
      <c r="A46" t="s">
        <v>31</v>
      </c>
      <c r="B46" s="2">
        <v>5</v>
      </c>
      <c r="C46" t="s">
        <v>50</v>
      </c>
      <c r="D46" t="s">
        <v>82</v>
      </c>
      <c r="E46" t="s">
        <v>86</v>
      </c>
      <c r="F46" s="2">
        <v>24</v>
      </c>
      <c r="G46" s="2">
        <v>0</v>
      </c>
      <c r="H46" s="3">
        <v>0</v>
      </c>
      <c r="I46" s="2">
        <v>4</v>
      </c>
      <c r="J46" t="s">
        <v>95</v>
      </c>
    </row>
    <row r="47" spans="1:10">
      <c r="A47" t="s">
        <v>31</v>
      </c>
      <c r="B47" s="2">
        <v>6</v>
      </c>
      <c r="C47" t="s">
        <v>69</v>
      </c>
      <c r="D47" t="s">
        <v>82</v>
      </c>
      <c r="E47" t="s">
        <v>86</v>
      </c>
      <c r="F47" s="2">
        <v>24</v>
      </c>
      <c r="G47" s="2">
        <v>0</v>
      </c>
      <c r="H47" s="3">
        <v>0</v>
      </c>
      <c r="I47" s="2">
        <v>15</v>
      </c>
      <c r="J47" t="s">
        <v>122</v>
      </c>
    </row>
    <row r="48" spans="1:10">
      <c r="A48" t="s">
        <v>32</v>
      </c>
      <c r="B48" s="2">
        <v>1</v>
      </c>
      <c r="C48" t="s">
        <v>39</v>
      </c>
      <c r="D48" t="s">
        <v>83</v>
      </c>
      <c r="E48" t="s">
        <v>83</v>
      </c>
      <c r="F48" s="2">
        <v>7</v>
      </c>
      <c r="G48" s="2">
        <v>0</v>
      </c>
      <c r="H48" s="3">
        <v>0</v>
      </c>
      <c r="I48" s="2">
        <v>7</v>
      </c>
      <c r="J48" t="s">
        <v>123</v>
      </c>
    </row>
    <row r="49" spans="1:10">
      <c r="A49" t="s">
        <v>32</v>
      </c>
      <c r="B49" s="2">
        <v>2</v>
      </c>
      <c r="C49" t="s">
        <v>70</v>
      </c>
      <c r="D49" t="s">
        <v>81</v>
      </c>
      <c r="E49" t="s">
        <v>85</v>
      </c>
      <c r="F49" s="2">
        <v>7</v>
      </c>
      <c r="G49" s="2">
        <v>0</v>
      </c>
      <c r="H49" s="3">
        <v>0</v>
      </c>
      <c r="I49" s="2">
        <v>7</v>
      </c>
      <c r="J49" t="s">
        <v>124</v>
      </c>
    </row>
    <row r="50" spans="1:10">
      <c r="A50" t="s">
        <v>32</v>
      </c>
      <c r="B50" s="2">
        <v>3</v>
      </c>
      <c r="C50" t="s">
        <v>18</v>
      </c>
      <c r="D50" t="s">
        <v>81</v>
      </c>
      <c r="E50" t="s">
        <v>85</v>
      </c>
      <c r="F50" s="2">
        <v>7</v>
      </c>
      <c r="G50" s="2">
        <v>0</v>
      </c>
      <c r="H50" s="3">
        <v>0</v>
      </c>
      <c r="I50" s="2">
        <v>2</v>
      </c>
      <c r="J50" t="s">
        <v>125</v>
      </c>
    </row>
    <row r="51" spans="1:10">
      <c r="A51" t="s">
        <v>33</v>
      </c>
      <c r="B51" s="2">
        <v>1</v>
      </c>
      <c r="C51" t="s">
        <v>71</v>
      </c>
      <c r="D51" t="s">
        <v>82</v>
      </c>
      <c r="E51" t="s">
        <v>86</v>
      </c>
      <c r="F51" s="2">
        <v>4</v>
      </c>
      <c r="G51" s="2">
        <v>0</v>
      </c>
      <c r="H51" s="3">
        <v>0</v>
      </c>
      <c r="I51" s="2">
        <v>4</v>
      </c>
      <c r="J51" t="s">
        <v>126</v>
      </c>
    </row>
    <row r="52" spans="1:10">
      <c r="A52" t="s">
        <v>33</v>
      </c>
      <c r="B52" s="2">
        <v>2</v>
      </c>
      <c r="C52" t="s">
        <v>72</v>
      </c>
      <c r="D52" t="s">
        <v>82</v>
      </c>
      <c r="E52" t="s">
        <v>86</v>
      </c>
      <c r="F52" s="2">
        <v>4</v>
      </c>
      <c r="G52" s="2">
        <v>0</v>
      </c>
      <c r="H52" s="3">
        <v>0</v>
      </c>
      <c r="I52" s="2">
        <v>4</v>
      </c>
      <c r="J52" t="s">
        <v>127</v>
      </c>
    </row>
    <row r="53" spans="1:10">
      <c r="A53" t="s">
        <v>33</v>
      </c>
      <c r="B53" s="2">
        <v>3</v>
      </c>
      <c r="C53" t="s">
        <v>73</v>
      </c>
      <c r="D53" t="s">
        <v>81</v>
      </c>
      <c r="E53" t="s">
        <v>85</v>
      </c>
      <c r="F53" s="2">
        <v>4</v>
      </c>
      <c r="G53" s="2">
        <v>0</v>
      </c>
      <c r="H53" s="3">
        <v>0</v>
      </c>
      <c r="I53" s="2">
        <v>4</v>
      </c>
      <c r="J53" t="s">
        <v>128</v>
      </c>
    </row>
    <row r="54" spans="1:10">
      <c r="A54" t="s">
        <v>34</v>
      </c>
      <c r="B54" s="2">
        <v>1</v>
      </c>
      <c r="C54" t="s">
        <v>74</v>
      </c>
      <c r="D54" t="s">
        <v>82</v>
      </c>
      <c r="E54" t="s">
        <v>86</v>
      </c>
      <c r="F54" s="2">
        <v>26</v>
      </c>
      <c r="G54" s="2">
        <v>0</v>
      </c>
      <c r="H54" s="3">
        <v>0</v>
      </c>
      <c r="I54" s="2">
        <v>26</v>
      </c>
      <c r="J54" t="s">
        <v>129</v>
      </c>
    </row>
    <row r="55" spans="1:10">
      <c r="A55" t="s">
        <v>34</v>
      </c>
      <c r="B55" s="2">
        <v>2</v>
      </c>
      <c r="C55" t="s">
        <v>75</v>
      </c>
      <c r="D55" t="s">
        <v>81</v>
      </c>
      <c r="E55" t="s">
        <v>85</v>
      </c>
      <c r="F55" s="2">
        <v>26</v>
      </c>
      <c r="G55" s="2">
        <v>0</v>
      </c>
      <c r="H55" s="3">
        <v>0</v>
      </c>
      <c r="I55" s="2">
        <v>4</v>
      </c>
      <c r="J55" t="s">
        <v>130</v>
      </c>
    </row>
    <row r="56" spans="1:10">
      <c r="A56" t="s">
        <v>34</v>
      </c>
      <c r="B56" s="2">
        <v>3</v>
      </c>
      <c r="C56" t="s">
        <v>76</v>
      </c>
      <c r="D56" t="s">
        <v>81</v>
      </c>
      <c r="E56" t="s">
        <v>85</v>
      </c>
      <c r="F56" s="2">
        <v>26</v>
      </c>
      <c r="G56" s="2">
        <v>0</v>
      </c>
      <c r="H56" s="3">
        <v>0</v>
      </c>
      <c r="I56" s="2">
        <v>19</v>
      </c>
      <c r="J56" t="s">
        <v>131</v>
      </c>
    </row>
    <row r="57" spans="1:10">
      <c r="A57" t="s">
        <v>34</v>
      </c>
      <c r="B57" s="2">
        <v>4</v>
      </c>
      <c r="C57" t="s">
        <v>77</v>
      </c>
      <c r="D57" t="s">
        <v>81</v>
      </c>
      <c r="E57" t="s">
        <v>85</v>
      </c>
      <c r="F57" s="2">
        <v>26</v>
      </c>
      <c r="G57" s="2">
        <v>0</v>
      </c>
      <c r="H57" s="3">
        <v>0</v>
      </c>
      <c r="I57" s="2">
        <v>26</v>
      </c>
      <c r="J57" t="s">
        <v>132</v>
      </c>
    </row>
    <row r="58" spans="1:10">
      <c r="A58" t="s">
        <v>34</v>
      </c>
      <c r="B58" s="2">
        <v>5</v>
      </c>
      <c r="C58" t="s">
        <v>78</v>
      </c>
      <c r="D58" t="s">
        <v>82</v>
      </c>
      <c r="E58" t="s">
        <v>86</v>
      </c>
      <c r="F58" s="2">
        <v>0</v>
      </c>
      <c r="G58" s="2">
        <v>26</v>
      </c>
      <c r="H58" s="3">
        <v>100</v>
      </c>
      <c r="I58" s="2">
        <v>0</v>
      </c>
    </row>
    <row r="59" spans="1:10">
      <c r="A59" t="s">
        <v>35</v>
      </c>
      <c r="B59" s="2">
        <v>1</v>
      </c>
      <c r="C59" t="s">
        <v>74</v>
      </c>
      <c r="D59" t="s">
        <v>82</v>
      </c>
      <c r="E59" t="s">
        <v>86</v>
      </c>
      <c r="F59" s="2">
        <v>26</v>
      </c>
      <c r="G59" s="2">
        <v>0</v>
      </c>
      <c r="H59" s="3">
        <v>0</v>
      </c>
      <c r="I59" s="2">
        <v>26</v>
      </c>
      <c r="J59" t="s">
        <v>129</v>
      </c>
    </row>
    <row r="60" spans="1:10">
      <c r="A60" t="s">
        <v>35</v>
      </c>
      <c r="B60" s="2">
        <v>2</v>
      </c>
      <c r="C60" t="s">
        <v>75</v>
      </c>
      <c r="D60" t="s">
        <v>81</v>
      </c>
      <c r="E60" t="s">
        <v>85</v>
      </c>
      <c r="F60" s="2">
        <v>26</v>
      </c>
      <c r="G60" s="2">
        <v>0</v>
      </c>
      <c r="H60" s="3">
        <v>0</v>
      </c>
      <c r="I60" s="2">
        <v>4</v>
      </c>
      <c r="J60" t="s">
        <v>130</v>
      </c>
    </row>
    <row r="61" spans="1:10">
      <c r="A61" t="s">
        <v>35</v>
      </c>
      <c r="B61" s="2">
        <v>3</v>
      </c>
      <c r="C61" t="s">
        <v>79</v>
      </c>
      <c r="D61" t="s">
        <v>81</v>
      </c>
      <c r="E61" t="s">
        <v>85</v>
      </c>
      <c r="F61" s="2">
        <v>26</v>
      </c>
      <c r="G61" s="2">
        <v>0</v>
      </c>
      <c r="H61" s="3">
        <v>0</v>
      </c>
      <c r="I61" s="2">
        <v>26</v>
      </c>
      <c r="J61">
        <f>SOMA(Vendas!G2:G121), =MÉDIA(Vendas!G2:G121), =MÁXIMO(Vendas!G2:G121)-MÍNIMO(Vendas!G2:G121)</f>
        <v>0</v>
      </c>
    </row>
    <row r="62" spans="1:10">
      <c r="A62" t="s">
        <v>35</v>
      </c>
      <c r="B62" s="2">
        <v>4</v>
      </c>
      <c r="C62" t="s">
        <v>80</v>
      </c>
      <c r="D62" t="s">
        <v>84</v>
      </c>
      <c r="E62" t="s">
        <v>85</v>
      </c>
      <c r="F62" s="2">
        <v>26</v>
      </c>
      <c r="G62" s="2">
        <v>0</v>
      </c>
      <c r="H62" s="3">
        <v>0</v>
      </c>
      <c r="I62" s="2">
        <v>25</v>
      </c>
      <c r="J62" t="s">
        <v>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3" width="12.7109375" style="2" customWidth="1"/>
    <col min="4" max="4" width="16.7109375" style="2" customWidth="1"/>
    <col min="5" max="5" width="17.7109375" style="3" customWidth="1"/>
    <col min="6" max="6" width="19.7109375" style="2" customWidth="1"/>
    <col min="7" max="7" width="26.7109375" customWidth="1"/>
    <col min="8" max="8" width="22.7109375" customWidth="1"/>
  </cols>
  <sheetData>
    <row r="1" spans="1:8">
      <c r="A1" t="s">
        <v>15</v>
      </c>
      <c r="B1" s="2" t="s">
        <v>134</v>
      </c>
      <c r="C1" s="2" t="s">
        <v>135</v>
      </c>
      <c r="D1" s="2" t="s">
        <v>136</v>
      </c>
      <c r="E1" s="3" t="s">
        <v>137</v>
      </c>
      <c r="F1" s="2" t="s">
        <v>138</v>
      </c>
      <c r="G1" t="s">
        <v>139</v>
      </c>
      <c r="H1" t="s">
        <v>140</v>
      </c>
    </row>
    <row r="2" spans="1:8">
      <c r="A2" t="s">
        <v>25</v>
      </c>
      <c r="B2" s="2">
        <v>23</v>
      </c>
      <c r="C2" s="2">
        <v>3</v>
      </c>
      <c r="D2" s="2">
        <v>21</v>
      </c>
      <c r="E2" s="3">
        <v>30.43</v>
      </c>
      <c r="F2" s="2">
        <v>2</v>
      </c>
      <c r="G2" t="s">
        <v>141</v>
      </c>
      <c r="H2" t="s">
        <v>141</v>
      </c>
    </row>
    <row r="3" spans="1:8">
      <c r="A3" t="s">
        <v>26</v>
      </c>
      <c r="B3" s="2">
        <v>120</v>
      </c>
      <c r="C3" s="2">
        <v>12</v>
      </c>
      <c r="D3" s="2">
        <v>0</v>
      </c>
      <c r="E3" s="3">
        <v>0</v>
      </c>
      <c r="F3" s="2">
        <v>0</v>
      </c>
      <c r="G3" t="s">
        <v>141</v>
      </c>
      <c r="H3" t="s">
        <v>142</v>
      </c>
    </row>
    <row r="4" spans="1:8">
      <c r="A4" t="s">
        <v>27</v>
      </c>
      <c r="B4" s="2">
        <v>6</v>
      </c>
      <c r="C4" s="2">
        <v>8</v>
      </c>
      <c r="D4" s="2">
        <v>0</v>
      </c>
      <c r="E4" s="3">
        <v>0</v>
      </c>
      <c r="F4" s="2">
        <v>0</v>
      </c>
      <c r="G4" t="s">
        <v>141</v>
      </c>
      <c r="H4" t="s">
        <v>48</v>
      </c>
    </row>
    <row r="5" spans="1:8">
      <c r="A5" t="s">
        <v>28</v>
      </c>
      <c r="B5" s="2">
        <v>7</v>
      </c>
      <c r="C5" s="2">
        <v>8</v>
      </c>
      <c r="D5" s="2">
        <v>0</v>
      </c>
      <c r="E5" s="3">
        <v>0</v>
      </c>
      <c r="F5" s="2">
        <v>0</v>
      </c>
      <c r="G5" t="s">
        <v>141</v>
      </c>
      <c r="H5" t="s">
        <v>141</v>
      </c>
    </row>
    <row r="6" spans="1:8">
      <c r="A6" t="s">
        <v>29</v>
      </c>
      <c r="B6" s="2">
        <v>4</v>
      </c>
      <c r="C6" s="2">
        <v>5</v>
      </c>
      <c r="D6" s="2">
        <v>0</v>
      </c>
      <c r="E6" s="3">
        <v>0</v>
      </c>
      <c r="F6" s="2">
        <v>0</v>
      </c>
      <c r="G6" t="s">
        <v>141</v>
      </c>
      <c r="H6" t="s">
        <v>141</v>
      </c>
    </row>
    <row r="7" spans="1:8">
      <c r="A7" t="s">
        <v>30</v>
      </c>
      <c r="B7" s="2">
        <v>4</v>
      </c>
      <c r="C7" s="2">
        <v>4</v>
      </c>
      <c r="D7" s="2">
        <v>0</v>
      </c>
      <c r="E7" s="3">
        <v>0</v>
      </c>
      <c r="F7" s="2">
        <v>0</v>
      </c>
      <c r="G7" t="s">
        <v>141</v>
      </c>
      <c r="H7" t="s">
        <v>143</v>
      </c>
    </row>
    <row r="8" spans="1:8">
      <c r="A8" t="s">
        <v>31</v>
      </c>
      <c r="B8" s="2">
        <v>24</v>
      </c>
      <c r="C8" s="2">
        <v>6</v>
      </c>
      <c r="D8" s="2">
        <v>0</v>
      </c>
      <c r="E8" s="3">
        <v>0</v>
      </c>
      <c r="F8" s="2">
        <v>0</v>
      </c>
      <c r="G8" t="s">
        <v>141</v>
      </c>
      <c r="H8" t="s">
        <v>141</v>
      </c>
    </row>
    <row r="9" spans="1:8">
      <c r="A9" t="s">
        <v>32</v>
      </c>
      <c r="B9" s="2">
        <v>7</v>
      </c>
      <c r="C9" s="2">
        <v>3</v>
      </c>
      <c r="D9" s="2">
        <v>0</v>
      </c>
      <c r="E9" s="3">
        <v>0</v>
      </c>
      <c r="F9" s="2">
        <v>0</v>
      </c>
      <c r="G9" t="s">
        <v>141</v>
      </c>
      <c r="H9" t="s">
        <v>141</v>
      </c>
    </row>
    <row r="10" spans="1:8">
      <c r="A10" t="s">
        <v>33</v>
      </c>
      <c r="B10" s="2">
        <v>4</v>
      </c>
      <c r="C10" s="2">
        <v>3</v>
      </c>
      <c r="D10" s="2">
        <v>0</v>
      </c>
      <c r="E10" s="3">
        <v>0</v>
      </c>
      <c r="F10" s="2">
        <v>0</v>
      </c>
      <c r="G10" t="s">
        <v>141</v>
      </c>
      <c r="H10" t="s">
        <v>141</v>
      </c>
    </row>
    <row r="11" spans="1:8">
      <c r="A11" t="s">
        <v>34</v>
      </c>
      <c r="B11" s="2">
        <v>26</v>
      </c>
      <c r="C11" s="2">
        <v>5</v>
      </c>
      <c r="D11" s="2">
        <v>26</v>
      </c>
      <c r="E11" s="3">
        <v>20</v>
      </c>
      <c r="F11" s="2">
        <v>0</v>
      </c>
      <c r="G11" t="s">
        <v>78</v>
      </c>
      <c r="H11" t="s">
        <v>141</v>
      </c>
    </row>
    <row r="12" spans="1:8">
      <c r="A12" t="s">
        <v>35</v>
      </c>
      <c r="B12" s="2">
        <v>26</v>
      </c>
      <c r="C12" s="2">
        <v>4</v>
      </c>
      <c r="D12" s="2">
        <v>0</v>
      </c>
      <c r="E12" s="3">
        <v>0</v>
      </c>
      <c r="F12" s="2">
        <v>0</v>
      </c>
      <c r="G12" t="s">
        <v>141</v>
      </c>
      <c r="H12" t="s">
        <v>141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50.7109375" customWidth="1"/>
    <col min="3" max="3" width="12.7109375" customWidth="1"/>
    <col min="4" max="4" width="50.7109375" customWidth="1"/>
    <col min="5" max="5" width="16.7109375" style="2" customWidth="1"/>
    <col min="6" max="7" width="17.7109375" style="2" customWidth="1"/>
    <col min="8" max="8" width="18.7109375" style="2" customWidth="1"/>
    <col min="9" max="9" width="12.7109375" customWidth="1"/>
  </cols>
  <sheetData>
    <row r="1" spans="1:9">
      <c r="A1" t="s">
        <v>144</v>
      </c>
      <c r="B1" t="s">
        <v>15</v>
      </c>
      <c r="C1" t="s">
        <v>145</v>
      </c>
      <c r="D1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t="s">
        <v>151</v>
      </c>
    </row>
    <row r="2" spans="1:9">
      <c r="A2" t="s">
        <v>152</v>
      </c>
      <c r="B2" t="s">
        <v>26</v>
      </c>
      <c r="C2" t="s">
        <v>153</v>
      </c>
      <c r="D2" t="s">
        <v>154</v>
      </c>
      <c r="E2" s="2">
        <v>120</v>
      </c>
      <c r="F2" s="2">
        <v>120</v>
      </c>
      <c r="G2" s="2">
        <v>9</v>
      </c>
      <c r="H2" s="2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41.7109375" customWidth="1"/>
  </cols>
  <sheetData>
    <row r="1" spans="1:3">
      <c r="A1" t="s">
        <v>36</v>
      </c>
      <c r="B1" t="s">
        <v>37</v>
      </c>
      <c r="C1" t="s">
        <v>38</v>
      </c>
    </row>
    <row r="2" spans="1:3">
      <c r="A2" t="s">
        <v>155</v>
      </c>
    </row>
    <row r="4" spans="1:3">
      <c r="A4" t="s">
        <v>156</v>
      </c>
      <c r="B4" t="s">
        <v>171</v>
      </c>
      <c r="C4" t="s">
        <v>188</v>
      </c>
    </row>
    <row r="5" spans="1:3">
      <c r="A5" t="s">
        <v>157</v>
      </c>
      <c r="B5" t="s">
        <v>172</v>
      </c>
      <c r="C5" t="s">
        <v>189</v>
      </c>
    </row>
    <row r="6" spans="1:3">
      <c r="A6" t="s">
        <v>158</v>
      </c>
      <c r="B6" t="s">
        <v>173</v>
      </c>
      <c r="C6" t="s">
        <v>190</v>
      </c>
    </row>
    <row r="7" spans="1:3">
      <c r="A7" t="s">
        <v>159</v>
      </c>
      <c r="B7" t="s">
        <v>174</v>
      </c>
      <c r="C7" t="s">
        <v>191</v>
      </c>
    </row>
    <row r="8" spans="1:3">
      <c r="A8" t="s">
        <v>160</v>
      </c>
      <c r="B8" t="s">
        <v>175</v>
      </c>
      <c r="C8" t="s">
        <v>192</v>
      </c>
    </row>
    <row r="9" spans="1:3">
      <c r="A9" t="s">
        <v>161</v>
      </c>
      <c r="B9" t="s">
        <v>176</v>
      </c>
      <c r="C9" t="s">
        <v>193</v>
      </c>
    </row>
    <row r="10" spans="1:3">
      <c r="A10" t="s">
        <v>162</v>
      </c>
      <c r="B10" t="s">
        <v>177</v>
      </c>
      <c r="C10" t="s">
        <v>194</v>
      </c>
    </row>
    <row r="11" spans="1:3">
      <c r="A11" t="s">
        <v>163</v>
      </c>
      <c r="B11" t="s">
        <v>178</v>
      </c>
      <c r="C11" t="s">
        <v>195</v>
      </c>
    </row>
    <row r="12" spans="1:3">
      <c r="A12" t="s">
        <v>164</v>
      </c>
      <c r="B12" t="s">
        <v>179</v>
      </c>
      <c r="C12" t="s">
        <v>196</v>
      </c>
    </row>
    <row r="13" spans="1:3">
      <c r="A13" t="s">
        <v>165</v>
      </c>
      <c r="B13" t="s">
        <v>180</v>
      </c>
      <c r="C13" t="s">
        <v>189</v>
      </c>
    </row>
    <row r="14" spans="1:3">
      <c r="A14" t="s">
        <v>166</v>
      </c>
      <c r="B14" t="s">
        <v>181</v>
      </c>
      <c r="C14" t="s">
        <v>189</v>
      </c>
    </row>
    <row r="16" spans="1:3">
      <c r="A16" t="s">
        <v>167</v>
      </c>
    </row>
    <row r="17" spans="1:2">
      <c r="A17" t="s">
        <v>168</v>
      </c>
      <c r="B17" t="s">
        <v>182</v>
      </c>
    </row>
    <row r="18" spans="1:2">
      <c r="A18" t="s">
        <v>168</v>
      </c>
      <c r="B18" t="s">
        <v>183</v>
      </c>
    </row>
    <row r="19" spans="1:2">
      <c r="A19" t="s">
        <v>168</v>
      </c>
      <c r="B19" t="s">
        <v>184</v>
      </c>
    </row>
    <row r="20" spans="1:2">
      <c r="A20" t="s">
        <v>168</v>
      </c>
      <c r="B20" t="s">
        <v>185</v>
      </c>
    </row>
    <row r="21" spans="1:2">
      <c r="A21" t="s">
        <v>168</v>
      </c>
      <c r="B21" t="s">
        <v>186</v>
      </c>
    </row>
    <row r="23" spans="1:2">
      <c r="A23" t="s">
        <v>169</v>
      </c>
    </row>
    <row r="24" spans="1:2">
      <c r="A24" t="s">
        <v>170</v>
      </c>
      <c r="B24" t="s">
        <v>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2.7109375" style="2" customWidth="1"/>
    <col min="6" max="6" width="16.7109375" style="2" customWidth="1"/>
    <col min="7" max="7" width="13.7109375" style="2" customWidth="1"/>
    <col min="8" max="8" width="13.7109375" customWidth="1"/>
    <col min="9" max="9" width="12.7109375" style="2" customWidth="1"/>
  </cols>
  <sheetData>
    <row r="1" spans="1:9">
      <c r="A1" t="s">
        <v>39</v>
      </c>
      <c r="B1" t="s">
        <v>40</v>
      </c>
      <c r="C1" t="s">
        <v>41</v>
      </c>
      <c r="D1" t="s">
        <v>42</v>
      </c>
      <c r="E1" s="2" t="s">
        <v>43</v>
      </c>
      <c r="F1" s="2" t="s">
        <v>44</v>
      </c>
      <c r="G1" s="2" t="s">
        <v>45</v>
      </c>
      <c r="H1" t="s">
        <v>46</v>
      </c>
      <c r="I1" s="2" t="s">
        <v>47</v>
      </c>
    </row>
    <row r="2" spans="1:9">
      <c r="A2" t="s">
        <v>197</v>
      </c>
      <c r="B2" t="s">
        <v>317</v>
      </c>
      <c r="C2" t="s">
        <v>321</v>
      </c>
      <c r="D2" t="s">
        <v>325</v>
      </c>
      <c r="E2" s="2">
        <v>2</v>
      </c>
      <c r="F2" s="2">
        <v>200</v>
      </c>
      <c r="G2" s="2">
        <v>400</v>
      </c>
      <c r="H2" t="s">
        <v>329</v>
      </c>
      <c r="I2" s="2">
        <v>610002</v>
      </c>
    </row>
    <row r="3" spans="1:9">
      <c r="A3" t="s">
        <v>198</v>
      </c>
      <c r="B3" t="s">
        <v>318</v>
      </c>
      <c r="C3" t="s">
        <v>322</v>
      </c>
      <c r="D3" t="s">
        <v>326</v>
      </c>
      <c r="E3" s="2">
        <v>3</v>
      </c>
      <c r="F3" s="2">
        <v>300</v>
      </c>
      <c r="G3" s="2">
        <v>900</v>
      </c>
      <c r="H3" t="s">
        <v>330</v>
      </c>
      <c r="I3" s="2">
        <v>610003</v>
      </c>
    </row>
    <row r="4" spans="1:9">
      <c r="A4" t="s">
        <v>199</v>
      </c>
      <c r="B4" t="s">
        <v>319</v>
      </c>
      <c r="C4" t="s">
        <v>323</v>
      </c>
      <c r="D4" t="s">
        <v>327</v>
      </c>
      <c r="E4" s="2">
        <v>4</v>
      </c>
      <c r="F4" s="2">
        <v>400</v>
      </c>
      <c r="G4" s="2">
        <v>1600</v>
      </c>
      <c r="H4" t="s">
        <v>331</v>
      </c>
      <c r="I4" s="2">
        <v>610001</v>
      </c>
    </row>
    <row r="5" spans="1:9">
      <c r="A5" t="s">
        <v>200</v>
      </c>
      <c r="B5" t="s">
        <v>320</v>
      </c>
      <c r="C5" t="s">
        <v>324</v>
      </c>
      <c r="D5" t="s">
        <v>328</v>
      </c>
      <c r="E5" s="2">
        <v>5</v>
      </c>
      <c r="F5" s="2">
        <v>100</v>
      </c>
      <c r="G5" s="2">
        <v>500</v>
      </c>
      <c r="H5" t="s">
        <v>329</v>
      </c>
      <c r="I5" s="2">
        <v>610002</v>
      </c>
    </row>
    <row r="6" spans="1:9">
      <c r="A6" t="s">
        <v>201</v>
      </c>
      <c r="B6" t="s">
        <v>317</v>
      </c>
      <c r="C6" t="s">
        <v>321</v>
      </c>
      <c r="D6" t="s">
        <v>325</v>
      </c>
      <c r="E6" s="2">
        <v>1</v>
      </c>
      <c r="F6" s="2">
        <v>200</v>
      </c>
      <c r="G6" s="2">
        <v>200</v>
      </c>
      <c r="H6" t="s">
        <v>330</v>
      </c>
      <c r="I6" s="2">
        <v>610003</v>
      </c>
    </row>
    <row r="7" spans="1:9">
      <c r="A7" t="s">
        <v>202</v>
      </c>
      <c r="B7" t="s">
        <v>318</v>
      </c>
      <c r="C7" t="s">
        <v>322</v>
      </c>
      <c r="D7" t="s">
        <v>326</v>
      </c>
      <c r="E7" s="2">
        <v>2</v>
      </c>
      <c r="F7" s="2">
        <v>300</v>
      </c>
      <c r="G7" s="2">
        <v>600</v>
      </c>
      <c r="H7" t="s">
        <v>331</v>
      </c>
      <c r="I7" s="2">
        <v>610001</v>
      </c>
    </row>
    <row r="8" spans="1:9">
      <c r="A8" t="s">
        <v>203</v>
      </c>
      <c r="B8" t="s">
        <v>319</v>
      </c>
      <c r="C8" t="s">
        <v>323</v>
      </c>
      <c r="D8" t="s">
        <v>327</v>
      </c>
      <c r="E8" s="2">
        <v>3</v>
      </c>
      <c r="F8" s="2">
        <v>400</v>
      </c>
      <c r="G8" s="2">
        <v>1200</v>
      </c>
      <c r="H8" t="s">
        <v>329</v>
      </c>
      <c r="I8" s="2">
        <v>610002</v>
      </c>
    </row>
    <row r="9" spans="1:9">
      <c r="A9" t="s">
        <v>204</v>
      </c>
      <c r="B9" t="s">
        <v>320</v>
      </c>
      <c r="C9" t="s">
        <v>324</v>
      </c>
      <c r="D9" t="s">
        <v>328</v>
      </c>
      <c r="E9" s="2">
        <v>4</v>
      </c>
      <c r="F9" s="2">
        <v>100</v>
      </c>
      <c r="G9" s="2">
        <v>400</v>
      </c>
      <c r="H9" t="s">
        <v>330</v>
      </c>
      <c r="I9" s="2">
        <v>610003</v>
      </c>
    </row>
    <row r="10" spans="1:9">
      <c r="A10" t="s">
        <v>205</v>
      </c>
      <c r="B10" t="s">
        <v>317</v>
      </c>
      <c r="C10" t="s">
        <v>321</v>
      </c>
      <c r="D10" t="s">
        <v>325</v>
      </c>
      <c r="E10" s="2">
        <v>5</v>
      </c>
      <c r="F10" s="2">
        <v>200</v>
      </c>
      <c r="G10" s="2">
        <v>1000</v>
      </c>
      <c r="H10" t="s">
        <v>331</v>
      </c>
      <c r="I10" s="2">
        <v>610001</v>
      </c>
    </row>
    <row r="11" spans="1:9">
      <c r="A11" t="s">
        <v>206</v>
      </c>
      <c r="B11" t="s">
        <v>318</v>
      </c>
      <c r="C11" t="s">
        <v>322</v>
      </c>
      <c r="D11" t="s">
        <v>326</v>
      </c>
      <c r="E11" s="2">
        <v>1</v>
      </c>
      <c r="F11" s="2">
        <v>300</v>
      </c>
      <c r="G11" s="2">
        <v>300</v>
      </c>
      <c r="H11" t="s">
        <v>329</v>
      </c>
      <c r="I11" s="2">
        <v>610002</v>
      </c>
    </row>
    <row r="12" spans="1:9">
      <c r="A12" t="s">
        <v>207</v>
      </c>
      <c r="B12" t="s">
        <v>319</v>
      </c>
      <c r="C12" t="s">
        <v>323</v>
      </c>
      <c r="D12" t="s">
        <v>327</v>
      </c>
      <c r="E12" s="2">
        <v>2</v>
      </c>
      <c r="F12" s="2">
        <v>400</v>
      </c>
      <c r="G12" s="2">
        <v>800</v>
      </c>
      <c r="H12" t="s">
        <v>330</v>
      </c>
      <c r="I12" s="2">
        <v>610003</v>
      </c>
    </row>
    <row r="13" spans="1:9">
      <c r="A13" t="s">
        <v>208</v>
      </c>
      <c r="B13" t="s">
        <v>320</v>
      </c>
      <c r="C13" t="s">
        <v>324</v>
      </c>
      <c r="D13" t="s">
        <v>328</v>
      </c>
      <c r="E13" s="2">
        <v>3</v>
      </c>
      <c r="F13" s="2">
        <v>100</v>
      </c>
      <c r="G13" s="2">
        <v>300</v>
      </c>
      <c r="H13" t="s">
        <v>331</v>
      </c>
      <c r="I13" s="2">
        <v>610001</v>
      </c>
    </row>
    <row r="14" spans="1:9">
      <c r="A14" t="s">
        <v>209</v>
      </c>
      <c r="B14" t="s">
        <v>317</v>
      </c>
      <c r="C14" t="s">
        <v>321</v>
      </c>
      <c r="D14" t="s">
        <v>325</v>
      </c>
      <c r="E14" s="2">
        <v>4</v>
      </c>
      <c r="F14" s="2">
        <v>200</v>
      </c>
      <c r="G14" s="2">
        <v>800</v>
      </c>
      <c r="H14" t="s">
        <v>329</v>
      </c>
      <c r="I14" s="2">
        <v>610002</v>
      </c>
    </row>
    <row r="15" spans="1:9">
      <c r="A15" t="s">
        <v>210</v>
      </c>
      <c r="B15" t="s">
        <v>318</v>
      </c>
      <c r="C15" t="s">
        <v>322</v>
      </c>
      <c r="D15" t="s">
        <v>326</v>
      </c>
      <c r="E15" s="2">
        <v>5</v>
      </c>
      <c r="F15" s="2">
        <v>300</v>
      </c>
      <c r="G15" s="2">
        <v>1500</v>
      </c>
      <c r="H15" t="s">
        <v>330</v>
      </c>
      <c r="I15" s="2">
        <v>610003</v>
      </c>
    </row>
    <row r="16" spans="1:9">
      <c r="A16" t="s">
        <v>211</v>
      </c>
      <c r="B16" t="s">
        <v>319</v>
      </c>
      <c r="C16" t="s">
        <v>323</v>
      </c>
      <c r="D16" t="s">
        <v>327</v>
      </c>
      <c r="E16" s="2">
        <v>1</v>
      </c>
      <c r="F16" s="2">
        <v>400</v>
      </c>
      <c r="G16" s="2">
        <v>400</v>
      </c>
      <c r="H16" t="s">
        <v>331</v>
      </c>
      <c r="I16" s="2">
        <v>610001</v>
      </c>
    </row>
    <row r="17" spans="1:9">
      <c r="A17" t="s">
        <v>212</v>
      </c>
      <c r="B17" t="s">
        <v>320</v>
      </c>
      <c r="C17" t="s">
        <v>324</v>
      </c>
      <c r="D17" t="s">
        <v>328</v>
      </c>
      <c r="E17" s="2">
        <v>2</v>
      </c>
      <c r="F17" s="2">
        <v>100</v>
      </c>
      <c r="G17" s="2">
        <v>200</v>
      </c>
      <c r="H17" t="s">
        <v>329</v>
      </c>
      <c r="I17" s="2">
        <v>610002</v>
      </c>
    </row>
    <row r="18" spans="1:9">
      <c r="A18" t="s">
        <v>213</v>
      </c>
      <c r="B18" t="s">
        <v>317</v>
      </c>
      <c r="C18" t="s">
        <v>321</v>
      </c>
      <c r="D18" t="s">
        <v>325</v>
      </c>
      <c r="E18" s="2">
        <v>3</v>
      </c>
      <c r="F18" s="2">
        <v>200</v>
      </c>
      <c r="G18" s="2">
        <v>600</v>
      </c>
      <c r="H18" t="s">
        <v>330</v>
      </c>
      <c r="I18" s="2">
        <v>610003</v>
      </c>
    </row>
    <row r="19" spans="1:9">
      <c r="A19" t="s">
        <v>214</v>
      </c>
      <c r="B19" t="s">
        <v>318</v>
      </c>
      <c r="C19" t="s">
        <v>322</v>
      </c>
      <c r="D19" t="s">
        <v>326</v>
      </c>
      <c r="E19" s="2">
        <v>4</v>
      </c>
      <c r="F19" s="2">
        <v>300</v>
      </c>
      <c r="G19" s="2">
        <v>1200</v>
      </c>
      <c r="H19" t="s">
        <v>331</v>
      </c>
      <c r="I19" s="2">
        <v>610001</v>
      </c>
    </row>
    <row r="20" spans="1:9">
      <c r="A20" t="s">
        <v>215</v>
      </c>
      <c r="B20" t="s">
        <v>319</v>
      </c>
      <c r="C20" t="s">
        <v>323</v>
      </c>
      <c r="D20" t="s">
        <v>327</v>
      </c>
      <c r="E20" s="2">
        <v>5</v>
      </c>
      <c r="F20" s="2">
        <v>400</v>
      </c>
      <c r="G20" s="2">
        <v>2000</v>
      </c>
      <c r="H20" t="s">
        <v>329</v>
      </c>
      <c r="I20" s="2">
        <v>610002</v>
      </c>
    </row>
    <row r="21" spans="1:9">
      <c r="A21" t="s">
        <v>216</v>
      </c>
      <c r="B21" t="s">
        <v>320</v>
      </c>
      <c r="C21" t="s">
        <v>324</v>
      </c>
      <c r="D21" t="s">
        <v>328</v>
      </c>
      <c r="E21" s="2">
        <v>1</v>
      </c>
      <c r="F21" s="2">
        <v>100</v>
      </c>
      <c r="G21" s="2">
        <v>100</v>
      </c>
      <c r="H21" t="s">
        <v>330</v>
      </c>
      <c r="I21" s="2">
        <v>610003</v>
      </c>
    </row>
    <row r="22" spans="1:9">
      <c r="A22" t="s">
        <v>217</v>
      </c>
      <c r="B22" t="s">
        <v>317</v>
      </c>
      <c r="C22" t="s">
        <v>321</v>
      </c>
      <c r="D22" t="s">
        <v>325</v>
      </c>
      <c r="E22" s="2">
        <v>2</v>
      </c>
      <c r="F22" s="2">
        <v>200</v>
      </c>
      <c r="G22" s="2">
        <v>400</v>
      </c>
      <c r="H22" t="s">
        <v>329</v>
      </c>
      <c r="I22" s="2">
        <v>610002</v>
      </c>
    </row>
    <row r="23" spans="1:9">
      <c r="A23" t="s">
        <v>218</v>
      </c>
      <c r="B23" t="s">
        <v>318</v>
      </c>
      <c r="C23" t="s">
        <v>322</v>
      </c>
      <c r="D23" t="s">
        <v>326</v>
      </c>
      <c r="E23" s="2">
        <v>3</v>
      </c>
      <c r="F23" s="2">
        <v>300</v>
      </c>
      <c r="G23" s="2">
        <v>900</v>
      </c>
      <c r="H23" t="s">
        <v>330</v>
      </c>
      <c r="I23" s="2">
        <v>610003</v>
      </c>
    </row>
    <row r="24" spans="1:9">
      <c r="A24" t="s">
        <v>219</v>
      </c>
      <c r="B24" t="s">
        <v>319</v>
      </c>
      <c r="C24" t="s">
        <v>323</v>
      </c>
      <c r="D24" t="s">
        <v>327</v>
      </c>
      <c r="E24" s="2">
        <v>4</v>
      </c>
      <c r="F24" s="2">
        <v>400</v>
      </c>
      <c r="G24" s="2">
        <v>1600</v>
      </c>
      <c r="H24" t="s">
        <v>331</v>
      </c>
      <c r="I24" s="2">
        <v>610001</v>
      </c>
    </row>
    <row r="25" spans="1:9">
      <c r="A25" t="s">
        <v>220</v>
      </c>
      <c r="B25" t="s">
        <v>320</v>
      </c>
      <c r="C25" t="s">
        <v>324</v>
      </c>
      <c r="D25" t="s">
        <v>328</v>
      </c>
      <c r="E25" s="2">
        <v>5</v>
      </c>
      <c r="F25" s="2">
        <v>100</v>
      </c>
      <c r="G25" s="2">
        <v>500</v>
      </c>
      <c r="H25" t="s">
        <v>329</v>
      </c>
      <c r="I25" s="2">
        <v>610002</v>
      </c>
    </row>
    <row r="26" spans="1:9">
      <c r="A26" t="s">
        <v>221</v>
      </c>
      <c r="B26" t="s">
        <v>317</v>
      </c>
      <c r="C26" t="s">
        <v>321</v>
      </c>
      <c r="D26" t="s">
        <v>325</v>
      </c>
      <c r="E26" s="2">
        <v>1</v>
      </c>
      <c r="F26" s="2">
        <v>200</v>
      </c>
      <c r="G26" s="2">
        <v>200</v>
      </c>
      <c r="H26" t="s">
        <v>330</v>
      </c>
      <c r="I26" s="2">
        <v>610003</v>
      </c>
    </row>
    <row r="27" spans="1:9">
      <c r="A27" t="s">
        <v>222</v>
      </c>
      <c r="B27" t="s">
        <v>318</v>
      </c>
      <c r="C27" t="s">
        <v>322</v>
      </c>
      <c r="D27" t="s">
        <v>326</v>
      </c>
      <c r="E27" s="2">
        <v>2</v>
      </c>
      <c r="F27" s="2">
        <v>300</v>
      </c>
      <c r="G27" s="2">
        <v>600</v>
      </c>
      <c r="H27" t="s">
        <v>331</v>
      </c>
      <c r="I27" s="2">
        <v>610001</v>
      </c>
    </row>
    <row r="28" spans="1:9">
      <c r="A28" t="s">
        <v>223</v>
      </c>
      <c r="B28" t="s">
        <v>319</v>
      </c>
      <c r="C28" t="s">
        <v>323</v>
      </c>
      <c r="D28" t="s">
        <v>327</v>
      </c>
      <c r="E28" s="2">
        <v>3</v>
      </c>
      <c r="F28" s="2">
        <v>400</v>
      </c>
      <c r="G28" s="2">
        <v>1200</v>
      </c>
      <c r="H28" t="s">
        <v>329</v>
      </c>
      <c r="I28" s="2">
        <v>610002</v>
      </c>
    </row>
    <row r="29" spans="1:9">
      <c r="A29" t="s">
        <v>224</v>
      </c>
      <c r="B29" t="s">
        <v>320</v>
      </c>
      <c r="C29" t="s">
        <v>324</v>
      </c>
      <c r="D29" t="s">
        <v>328</v>
      </c>
      <c r="E29" s="2">
        <v>4</v>
      </c>
      <c r="F29" s="2">
        <v>100</v>
      </c>
      <c r="G29" s="2">
        <v>400</v>
      </c>
      <c r="H29" t="s">
        <v>330</v>
      </c>
      <c r="I29" s="2">
        <v>610003</v>
      </c>
    </row>
    <row r="30" spans="1:9">
      <c r="A30" t="s">
        <v>225</v>
      </c>
      <c r="B30" t="s">
        <v>317</v>
      </c>
      <c r="C30" t="s">
        <v>321</v>
      </c>
      <c r="D30" t="s">
        <v>325</v>
      </c>
      <c r="E30" s="2">
        <v>5</v>
      </c>
      <c r="F30" s="2">
        <v>200</v>
      </c>
      <c r="G30" s="2">
        <v>1000</v>
      </c>
      <c r="H30" t="s">
        <v>331</v>
      </c>
      <c r="I30" s="2">
        <v>610001</v>
      </c>
    </row>
    <row r="31" spans="1:9">
      <c r="A31" t="s">
        <v>226</v>
      </c>
      <c r="B31" t="s">
        <v>318</v>
      </c>
      <c r="C31" t="s">
        <v>322</v>
      </c>
      <c r="D31" t="s">
        <v>326</v>
      </c>
      <c r="E31" s="2">
        <v>1</v>
      </c>
      <c r="F31" s="2">
        <v>300</v>
      </c>
      <c r="G31" s="2">
        <v>300</v>
      </c>
      <c r="H31" t="s">
        <v>329</v>
      </c>
      <c r="I31" s="2">
        <v>610002</v>
      </c>
    </row>
    <row r="32" spans="1:9">
      <c r="A32" t="s">
        <v>227</v>
      </c>
      <c r="B32" t="s">
        <v>319</v>
      </c>
      <c r="C32" t="s">
        <v>323</v>
      </c>
      <c r="D32" t="s">
        <v>327</v>
      </c>
      <c r="E32" s="2">
        <v>2</v>
      </c>
      <c r="F32" s="2">
        <v>400</v>
      </c>
      <c r="G32" s="2">
        <v>800</v>
      </c>
      <c r="H32" t="s">
        <v>330</v>
      </c>
      <c r="I32" s="2">
        <v>610003</v>
      </c>
    </row>
    <row r="33" spans="1:9">
      <c r="A33" t="s">
        <v>228</v>
      </c>
      <c r="B33" t="s">
        <v>320</v>
      </c>
      <c r="C33" t="s">
        <v>324</v>
      </c>
      <c r="D33" t="s">
        <v>328</v>
      </c>
      <c r="E33" s="2">
        <v>3</v>
      </c>
      <c r="F33" s="2">
        <v>100</v>
      </c>
      <c r="G33" s="2">
        <v>300</v>
      </c>
      <c r="H33" t="s">
        <v>331</v>
      </c>
      <c r="I33" s="2">
        <v>610001</v>
      </c>
    </row>
    <row r="34" spans="1:9">
      <c r="A34" t="s">
        <v>229</v>
      </c>
      <c r="B34" t="s">
        <v>317</v>
      </c>
      <c r="C34" t="s">
        <v>321</v>
      </c>
      <c r="D34" t="s">
        <v>325</v>
      </c>
      <c r="E34" s="2">
        <v>4</v>
      </c>
      <c r="F34" s="2">
        <v>200</v>
      </c>
      <c r="G34" s="2">
        <v>800</v>
      </c>
      <c r="H34" t="s">
        <v>329</v>
      </c>
      <c r="I34" s="2">
        <v>610002</v>
      </c>
    </row>
    <row r="35" spans="1:9">
      <c r="A35" t="s">
        <v>230</v>
      </c>
      <c r="B35" t="s">
        <v>318</v>
      </c>
      <c r="C35" t="s">
        <v>322</v>
      </c>
      <c r="D35" t="s">
        <v>326</v>
      </c>
      <c r="E35" s="2">
        <v>5</v>
      </c>
      <c r="F35" s="2">
        <v>300</v>
      </c>
      <c r="G35" s="2">
        <v>1500</v>
      </c>
      <c r="H35" t="s">
        <v>330</v>
      </c>
      <c r="I35" s="2">
        <v>610003</v>
      </c>
    </row>
    <row r="36" spans="1:9">
      <c r="A36" t="s">
        <v>231</v>
      </c>
      <c r="B36" t="s">
        <v>319</v>
      </c>
      <c r="C36" t="s">
        <v>323</v>
      </c>
      <c r="D36" t="s">
        <v>327</v>
      </c>
      <c r="E36" s="2">
        <v>1</v>
      </c>
      <c r="F36" s="2">
        <v>400</v>
      </c>
      <c r="G36" s="2">
        <v>400</v>
      </c>
      <c r="H36" t="s">
        <v>331</v>
      </c>
      <c r="I36" s="2">
        <v>610001</v>
      </c>
    </row>
    <row r="37" spans="1:9">
      <c r="A37" t="s">
        <v>232</v>
      </c>
      <c r="B37" t="s">
        <v>320</v>
      </c>
      <c r="C37" t="s">
        <v>324</v>
      </c>
      <c r="D37" t="s">
        <v>328</v>
      </c>
      <c r="E37" s="2">
        <v>2</v>
      </c>
      <c r="F37" s="2">
        <v>100</v>
      </c>
      <c r="G37" s="2">
        <v>200</v>
      </c>
      <c r="H37" t="s">
        <v>329</v>
      </c>
      <c r="I37" s="2">
        <v>610002</v>
      </c>
    </row>
    <row r="38" spans="1:9">
      <c r="A38" t="s">
        <v>233</v>
      </c>
      <c r="B38" t="s">
        <v>317</v>
      </c>
      <c r="C38" t="s">
        <v>321</v>
      </c>
      <c r="D38" t="s">
        <v>325</v>
      </c>
      <c r="E38" s="2">
        <v>3</v>
      </c>
      <c r="F38" s="2">
        <v>200</v>
      </c>
      <c r="G38" s="2">
        <v>600</v>
      </c>
      <c r="H38" t="s">
        <v>330</v>
      </c>
      <c r="I38" s="2">
        <v>610003</v>
      </c>
    </row>
    <row r="39" spans="1:9">
      <c r="A39" t="s">
        <v>234</v>
      </c>
      <c r="B39" t="s">
        <v>318</v>
      </c>
      <c r="C39" t="s">
        <v>322</v>
      </c>
      <c r="D39" t="s">
        <v>326</v>
      </c>
      <c r="E39" s="2">
        <v>4</v>
      </c>
      <c r="F39" s="2">
        <v>300</v>
      </c>
      <c r="G39" s="2">
        <v>1200</v>
      </c>
      <c r="H39" t="s">
        <v>331</v>
      </c>
      <c r="I39" s="2">
        <v>610001</v>
      </c>
    </row>
    <row r="40" spans="1:9">
      <c r="A40" t="s">
        <v>235</v>
      </c>
      <c r="B40" t="s">
        <v>319</v>
      </c>
      <c r="C40" t="s">
        <v>323</v>
      </c>
      <c r="D40" t="s">
        <v>327</v>
      </c>
      <c r="E40" s="2">
        <v>5</v>
      </c>
      <c r="F40" s="2">
        <v>400</v>
      </c>
      <c r="G40" s="2">
        <v>2000</v>
      </c>
      <c r="H40" t="s">
        <v>329</v>
      </c>
      <c r="I40" s="2">
        <v>610002</v>
      </c>
    </row>
    <row r="41" spans="1:9">
      <c r="A41" t="s">
        <v>236</v>
      </c>
      <c r="B41" t="s">
        <v>320</v>
      </c>
      <c r="C41" t="s">
        <v>324</v>
      </c>
      <c r="D41" t="s">
        <v>328</v>
      </c>
      <c r="E41" s="2">
        <v>1</v>
      </c>
      <c r="F41" s="2">
        <v>100</v>
      </c>
      <c r="G41" s="2">
        <v>100</v>
      </c>
      <c r="H41" t="s">
        <v>330</v>
      </c>
      <c r="I41" s="2">
        <v>610003</v>
      </c>
    </row>
    <row r="42" spans="1:9">
      <c r="A42" t="s">
        <v>237</v>
      </c>
      <c r="B42" t="s">
        <v>317</v>
      </c>
      <c r="C42" t="s">
        <v>321</v>
      </c>
      <c r="D42" t="s">
        <v>325</v>
      </c>
      <c r="E42" s="2">
        <v>2</v>
      </c>
      <c r="F42" s="2">
        <v>200</v>
      </c>
      <c r="G42" s="2">
        <v>400</v>
      </c>
      <c r="H42" t="s">
        <v>329</v>
      </c>
      <c r="I42" s="2">
        <v>610002</v>
      </c>
    </row>
    <row r="43" spans="1:9">
      <c r="A43" t="s">
        <v>238</v>
      </c>
      <c r="B43" t="s">
        <v>318</v>
      </c>
      <c r="C43" t="s">
        <v>322</v>
      </c>
      <c r="D43" t="s">
        <v>326</v>
      </c>
      <c r="E43" s="2">
        <v>3</v>
      </c>
      <c r="F43" s="2">
        <v>300</v>
      </c>
      <c r="G43" s="2">
        <v>900</v>
      </c>
      <c r="H43" t="s">
        <v>330</v>
      </c>
      <c r="I43" s="2">
        <v>610003</v>
      </c>
    </row>
    <row r="44" spans="1:9">
      <c r="A44" t="s">
        <v>239</v>
      </c>
      <c r="B44" t="s">
        <v>319</v>
      </c>
      <c r="C44" t="s">
        <v>323</v>
      </c>
      <c r="D44" t="s">
        <v>327</v>
      </c>
      <c r="E44" s="2">
        <v>4</v>
      </c>
      <c r="F44" s="2">
        <v>400</v>
      </c>
      <c r="G44" s="2">
        <v>1600</v>
      </c>
      <c r="H44" t="s">
        <v>331</v>
      </c>
      <c r="I44" s="2">
        <v>610001</v>
      </c>
    </row>
    <row r="45" spans="1:9">
      <c r="A45" t="s">
        <v>240</v>
      </c>
      <c r="B45" t="s">
        <v>320</v>
      </c>
      <c r="C45" t="s">
        <v>324</v>
      </c>
      <c r="D45" t="s">
        <v>328</v>
      </c>
      <c r="E45" s="2">
        <v>5</v>
      </c>
      <c r="F45" s="2">
        <v>100</v>
      </c>
      <c r="G45" s="2">
        <v>500</v>
      </c>
      <c r="H45" t="s">
        <v>329</v>
      </c>
      <c r="I45" s="2">
        <v>610002</v>
      </c>
    </row>
    <row r="46" spans="1:9">
      <c r="A46" t="s">
        <v>241</v>
      </c>
      <c r="B46" t="s">
        <v>317</v>
      </c>
      <c r="C46" t="s">
        <v>321</v>
      </c>
      <c r="D46" t="s">
        <v>325</v>
      </c>
      <c r="E46" s="2">
        <v>1</v>
      </c>
      <c r="F46" s="2">
        <v>200</v>
      </c>
      <c r="G46" s="2">
        <v>200</v>
      </c>
      <c r="H46" t="s">
        <v>330</v>
      </c>
      <c r="I46" s="2">
        <v>610003</v>
      </c>
    </row>
    <row r="47" spans="1:9">
      <c r="A47" t="s">
        <v>242</v>
      </c>
      <c r="B47" t="s">
        <v>318</v>
      </c>
      <c r="C47" t="s">
        <v>322</v>
      </c>
      <c r="D47" t="s">
        <v>326</v>
      </c>
      <c r="E47" s="2">
        <v>2</v>
      </c>
      <c r="F47" s="2">
        <v>300</v>
      </c>
      <c r="G47" s="2">
        <v>600</v>
      </c>
      <c r="H47" t="s">
        <v>331</v>
      </c>
      <c r="I47" s="2">
        <v>610001</v>
      </c>
    </row>
    <row r="48" spans="1:9">
      <c r="A48" t="s">
        <v>243</v>
      </c>
      <c r="B48" t="s">
        <v>319</v>
      </c>
      <c r="C48" t="s">
        <v>323</v>
      </c>
      <c r="D48" t="s">
        <v>327</v>
      </c>
      <c r="E48" s="2">
        <v>3</v>
      </c>
      <c r="F48" s="2">
        <v>400</v>
      </c>
      <c r="G48" s="2">
        <v>1200</v>
      </c>
      <c r="H48" t="s">
        <v>329</v>
      </c>
      <c r="I48" s="2">
        <v>610002</v>
      </c>
    </row>
    <row r="49" spans="1:9">
      <c r="A49" t="s">
        <v>244</v>
      </c>
      <c r="B49" t="s">
        <v>320</v>
      </c>
      <c r="C49" t="s">
        <v>324</v>
      </c>
      <c r="D49" t="s">
        <v>328</v>
      </c>
      <c r="E49" s="2">
        <v>4</v>
      </c>
      <c r="F49" s="2">
        <v>100</v>
      </c>
      <c r="G49" s="2">
        <v>400</v>
      </c>
      <c r="H49" t="s">
        <v>330</v>
      </c>
      <c r="I49" s="2">
        <v>610003</v>
      </c>
    </row>
    <row r="50" spans="1:9">
      <c r="A50" t="s">
        <v>245</v>
      </c>
      <c r="B50" t="s">
        <v>317</v>
      </c>
      <c r="C50" t="s">
        <v>321</v>
      </c>
      <c r="D50" t="s">
        <v>325</v>
      </c>
      <c r="E50" s="2">
        <v>5</v>
      </c>
      <c r="F50" s="2">
        <v>200</v>
      </c>
      <c r="G50" s="2">
        <v>1000</v>
      </c>
      <c r="H50" t="s">
        <v>331</v>
      </c>
      <c r="I50" s="2">
        <v>610001</v>
      </c>
    </row>
    <row r="51" spans="1:9">
      <c r="A51" t="s">
        <v>246</v>
      </c>
      <c r="B51" t="s">
        <v>318</v>
      </c>
      <c r="C51" t="s">
        <v>322</v>
      </c>
      <c r="D51" t="s">
        <v>326</v>
      </c>
      <c r="E51" s="2">
        <v>1</v>
      </c>
      <c r="F51" s="2">
        <v>300</v>
      </c>
      <c r="G51" s="2">
        <v>300</v>
      </c>
      <c r="H51" t="s">
        <v>329</v>
      </c>
      <c r="I51" s="2">
        <v>610002</v>
      </c>
    </row>
    <row r="52" spans="1:9">
      <c r="A52" t="s">
        <v>247</v>
      </c>
      <c r="B52" t="s">
        <v>319</v>
      </c>
      <c r="C52" t="s">
        <v>323</v>
      </c>
      <c r="D52" t="s">
        <v>327</v>
      </c>
      <c r="E52" s="2">
        <v>2</v>
      </c>
      <c r="F52" s="2">
        <v>400</v>
      </c>
      <c r="G52" s="2">
        <v>800</v>
      </c>
      <c r="H52" t="s">
        <v>330</v>
      </c>
      <c r="I52" s="2">
        <v>610003</v>
      </c>
    </row>
    <row r="53" spans="1:9">
      <c r="A53" t="s">
        <v>248</v>
      </c>
      <c r="B53" t="s">
        <v>320</v>
      </c>
      <c r="C53" t="s">
        <v>324</v>
      </c>
      <c r="D53" t="s">
        <v>328</v>
      </c>
      <c r="E53" s="2">
        <v>3</v>
      </c>
      <c r="F53" s="2">
        <v>100</v>
      </c>
      <c r="G53" s="2">
        <v>300</v>
      </c>
      <c r="H53" t="s">
        <v>331</v>
      </c>
      <c r="I53" s="2">
        <v>610001</v>
      </c>
    </row>
    <row r="54" spans="1:9">
      <c r="A54" t="s">
        <v>249</v>
      </c>
      <c r="B54" t="s">
        <v>317</v>
      </c>
      <c r="C54" t="s">
        <v>321</v>
      </c>
      <c r="D54" t="s">
        <v>325</v>
      </c>
      <c r="E54" s="2">
        <v>4</v>
      </c>
      <c r="F54" s="2">
        <v>200</v>
      </c>
      <c r="G54" s="2">
        <v>800</v>
      </c>
      <c r="H54" t="s">
        <v>329</v>
      </c>
      <c r="I54" s="2">
        <v>610002</v>
      </c>
    </row>
    <row r="55" spans="1:9">
      <c r="A55" t="s">
        <v>250</v>
      </c>
      <c r="B55" t="s">
        <v>318</v>
      </c>
      <c r="C55" t="s">
        <v>322</v>
      </c>
      <c r="D55" t="s">
        <v>326</v>
      </c>
      <c r="E55" s="2">
        <v>5</v>
      </c>
      <c r="F55" s="2">
        <v>300</v>
      </c>
      <c r="G55" s="2">
        <v>1500</v>
      </c>
      <c r="H55" t="s">
        <v>330</v>
      </c>
      <c r="I55" s="2">
        <v>610003</v>
      </c>
    </row>
    <row r="56" spans="1:9">
      <c r="A56" t="s">
        <v>251</v>
      </c>
      <c r="B56" t="s">
        <v>319</v>
      </c>
      <c r="C56" t="s">
        <v>323</v>
      </c>
      <c r="D56" t="s">
        <v>327</v>
      </c>
      <c r="E56" s="2">
        <v>1</v>
      </c>
      <c r="F56" s="2">
        <v>400</v>
      </c>
      <c r="G56" s="2">
        <v>400</v>
      </c>
      <c r="H56" t="s">
        <v>331</v>
      </c>
      <c r="I56" s="2">
        <v>610001</v>
      </c>
    </row>
    <row r="57" spans="1:9">
      <c r="A57" t="s">
        <v>252</v>
      </c>
      <c r="B57" t="s">
        <v>320</v>
      </c>
      <c r="C57" t="s">
        <v>324</v>
      </c>
      <c r="D57" t="s">
        <v>328</v>
      </c>
      <c r="E57" s="2">
        <v>2</v>
      </c>
      <c r="F57" s="2">
        <v>100</v>
      </c>
      <c r="G57" s="2">
        <v>200</v>
      </c>
      <c r="H57" t="s">
        <v>329</v>
      </c>
      <c r="I57" s="2">
        <v>610002</v>
      </c>
    </row>
    <row r="58" spans="1:9">
      <c r="A58" t="s">
        <v>253</v>
      </c>
      <c r="B58" t="s">
        <v>317</v>
      </c>
      <c r="C58" t="s">
        <v>321</v>
      </c>
      <c r="D58" t="s">
        <v>325</v>
      </c>
      <c r="E58" s="2">
        <v>3</v>
      </c>
      <c r="F58" s="2">
        <v>200</v>
      </c>
      <c r="G58" s="2">
        <v>600</v>
      </c>
      <c r="H58" t="s">
        <v>330</v>
      </c>
      <c r="I58" s="2">
        <v>610003</v>
      </c>
    </row>
    <row r="59" spans="1:9">
      <c r="A59" t="s">
        <v>254</v>
      </c>
      <c r="B59" t="s">
        <v>318</v>
      </c>
      <c r="C59" t="s">
        <v>322</v>
      </c>
      <c r="D59" t="s">
        <v>326</v>
      </c>
      <c r="E59" s="2">
        <v>4</v>
      </c>
      <c r="F59" s="2">
        <v>300</v>
      </c>
      <c r="G59" s="2">
        <v>1200</v>
      </c>
      <c r="H59" t="s">
        <v>331</v>
      </c>
      <c r="I59" s="2">
        <v>610001</v>
      </c>
    </row>
    <row r="60" spans="1:9">
      <c r="A60" t="s">
        <v>255</v>
      </c>
      <c r="B60" t="s">
        <v>319</v>
      </c>
      <c r="C60" t="s">
        <v>323</v>
      </c>
      <c r="D60" t="s">
        <v>327</v>
      </c>
      <c r="E60" s="2">
        <v>5</v>
      </c>
      <c r="F60" s="2">
        <v>400</v>
      </c>
      <c r="G60" s="2">
        <v>2000</v>
      </c>
      <c r="H60" t="s">
        <v>329</v>
      </c>
      <c r="I60" s="2">
        <v>610002</v>
      </c>
    </row>
    <row r="61" spans="1:9">
      <c r="A61" t="s">
        <v>256</v>
      </c>
      <c r="B61" t="s">
        <v>320</v>
      </c>
      <c r="C61" t="s">
        <v>324</v>
      </c>
      <c r="D61" t="s">
        <v>328</v>
      </c>
      <c r="E61" s="2">
        <v>1</v>
      </c>
      <c r="F61" s="2">
        <v>100</v>
      </c>
      <c r="G61" s="2">
        <v>100</v>
      </c>
      <c r="H61" t="s">
        <v>330</v>
      </c>
      <c r="I61" s="2">
        <v>610003</v>
      </c>
    </row>
    <row r="62" spans="1:9">
      <c r="A62" t="s">
        <v>257</v>
      </c>
      <c r="B62" t="s">
        <v>317</v>
      </c>
      <c r="C62" t="s">
        <v>321</v>
      </c>
      <c r="D62" t="s">
        <v>325</v>
      </c>
      <c r="E62" s="2">
        <v>2</v>
      </c>
      <c r="F62" s="2">
        <v>200</v>
      </c>
      <c r="G62" s="2">
        <v>400</v>
      </c>
      <c r="H62" t="s">
        <v>329</v>
      </c>
      <c r="I62" s="2">
        <v>610002</v>
      </c>
    </row>
    <row r="63" spans="1:9">
      <c r="A63" t="s">
        <v>258</v>
      </c>
      <c r="B63" t="s">
        <v>318</v>
      </c>
      <c r="C63" t="s">
        <v>322</v>
      </c>
      <c r="D63" t="s">
        <v>326</v>
      </c>
      <c r="E63" s="2">
        <v>3</v>
      </c>
      <c r="F63" s="2">
        <v>300</v>
      </c>
      <c r="G63" s="2">
        <v>900</v>
      </c>
      <c r="H63" t="s">
        <v>330</v>
      </c>
      <c r="I63" s="2">
        <v>610003</v>
      </c>
    </row>
    <row r="64" spans="1:9">
      <c r="A64" t="s">
        <v>259</v>
      </c>
      <c r="B64" t="s">
        <v>319</v>
      </c>
      <c r="C64" t="s">
        <v>323</v>
      </c>
      <c r="D64" t="s">
        <v>327</v>
      </c>
      <c r="E64" s="2">
        <v>4</v>
      </c>
      <c r="F64" s="2">
        <v>400</v>
      </c>
      <c r="G64" s="2">
        <v>1600</v>
      </c>
      <c r="H64" t="s">
        <v>331</v>
      </c>
      <c r="I64" s="2">
        <v>610001</v>
      </c>
    </row>
    <row r="65" spans="1:9">
      <c r="A65" t="s">
        <v>260</v>
      </c>
      <c r="B65" t="s">
        <v>320</v>
      </c>
      <c r="C65" t="s">
        <v>324</v>
      </c>
      <c r="D65" t="s">
        <v>328</v>
      </c>
      <c r="E65" s="2">
        <v>5</v>
      </c>
      <c r="F65" s="2">
        <v>100</v>
      </c>
      <c r="G65" s="2">
        <v>500</v>
      </c>
      <c r="H65" t="s">
        <v>329</v>
      </c>
      <c r="I65" s="2">
        <v>610002</v>
      </c>
    </row>
    <row r="66" spans="1:9">
      <c r="A66" t="s">
        <v>261</v>
      </c>
      <c r="B66" t="s">
        <v>317</v>
      </c>
      <c r="C66" t="s">
        <v>321</v>
      </c>
      <c r="D66" t="s">
        <v>325</v>
      </c>
      <c r="E66" s="2">
        <v>1</v>
      </c>
      <c r="F66" s="2">
        <v>200</v>
      </c>
      <c r="G66" s="2">
        <v>200</v>
      </c>
      <c r="H66" t="s">
        <v>330</v>
      </c>
      <c r="I66" s="2">
        <v>610003</v>
      </c>
    </row>
    <row r="67" spans="1:9">
      <c r="A67" t="s">
        <v>262</v>
      </c>
      <c r="B67" t="s">
        <v>318</v>
      </c>
      <c r="C67" t="s">
        <v>322</v>
      </c>
      <c r="D67" t="s">
        <v>326</v>
      </c>
      <c r="E67" s="2">
        <v>2</v>
      </c>
      <c r="F67" s="2">
        <v>300</v>
      </c>
      <c r="G67" s="2">
        <v>600</v>
      </c>
      <c r="H67" t="s">
        <v>331</v>
      </c>
      <c r="I67" s="2">
        <v>610001</v>
      </c>
    </row>
    <row r="68" spans="1:9">
      <c r="A68" t="s">
        <v>263</v>
      </c>
      <c r="B68" t="s">
        <v>319</v>
      </c>
      <c r="C68" t="s">
        <v>323</v>
      </c>
      <c r="D68" t="s">
        <v>327</v>
      </c>
      <c r="E68" s="2">
        <v>3</v>
      </c>
      <c r="F68" s="2">
        <v>400</v>
      </c>
      <c r="G68" s="2">
        <v>1200</v>
      </c>
      <c r="H68" t="s">
        <v>329</v>
      </c>
      <c r="I68" s="2">
        <v>610002</v>
      </c>
    </row>
    <row r="69" spans="1:9">
      <c r="A69" t="s">
        <v>264</v>
      </c>
      <c r="B69" t="s">
        <v>320</v>
      </c>
      <c r="C69" t="s">
        <v>324</v>
      </c>
      <c r="D69" t="s">
        <v>328</v>
      </c>
      <c r="E69" s="2">
        <v>4</v>
      </c>
      <c r="F69" s="2">
        <v>100</v>
      </c>
      <c r="G69" s="2">
        <v>400</v>
      </c>
      <c r="H69" t="s">
        <v>330</v>
      </c>
      <c r="I69" s="2">
        <v>610003</v>
      </c>
    </row>
    <row r="70" spans="1:9">
      <c r="A70" t="s">
        <v>265</v>
      </c>
      <c r="B70" t="s">
        <v>317</v>
      </c>
      <c r="C70" t="s">
        <v>321</v>
      </c>
      <c r="D70" t="s">
        <v>325</v>
      </c>
      <c r="E70" s="2">
        <v>5</v>
      </c>
      <c r="F70" s="2">
        <v>200</v>
      </c>
      <c r="G70" s="2">
        <v>1000</v>
      </c>
      <c r="H70" t="s">
        <v>331</v>
      </c>
      <c r="I70" s="2">
        <v>610001</v>
      </c>
    </row>
    <row r="71" spans="1:9">
      <c r="A71" t="s">
        <v>266</v>
      </c>
      <c r="B71" t="s">
        <v>318</v>
      </c>
      <c r="C71" t="s">
        <v>322</v>
      </c>
      <c r="D71" t="s">
        <v>326</v>
      </c>
      <c r="E71" s="2">
        <v>1</v>
      </c>
      <c r="F71" s="2">
        <v>300</v>
      </c>
      <c r="G71" s="2">
        <v>300</v>
      </c>
      <c r="H71" t="s">
        <v>329</v>
      </c>
      <c r="I71" s="2">
        <v>610002</v>
      </c>
    </row>
    <row r="72" spans="1:9">
      <c r="A72" t="s">
        <v>267</v>
      </c>
      <c r="B72" t="s">
        <v>319</v>
      </c>
      <c r="C72" t="s">
        <v>323</v>
      </c>
      <c r="D72" t="s">
        <v>327</v>
      </c>
      <c r="E72" s="2">
        <v>2</v>
      </c>
      <c r="F72" s="2">
        <v>400</v>
      </c>
      <c r="G72" s="2">
        <v>800</v>
      </c>
      <c r="H72" t="s">
        <v>330</v>
      </c>
      <c r="I72" s="2">
        <v>610003</v>
      </c>
    </row>
    <row r="73" spans="1:9">
      <c r="A73" t="s">
        <v>268</v>
      </c>
      <c r="B73" t="s">
        <v>320</v>
      </c>
      <c r="C73" t="s">
        <v>324</v>
      </c>
      <c r="D73" t="s">
        <v>328</v>
      </c>
      <c r="E73" s="2">
        <v>3</v>
      </c>
      <c r="F73" s="2">
        <v>100</v>
      </c>
      <c r="G73" s="2">
        <v>300</v>
      </c>
      <c r="H73" t="s">
        <v>331</v>
      </c>
      <c r="I73" s="2">
        <v>610001</v>
      </c>
    </row>
    <row r="74" spans="1:9">
      <c r="A74" t="s">
        <v>269</v>
      </c>
      <c r="B74" t="s">
        <v>317</v>
      </c>
      <c r="C74" t="s">
        <v>321</v>
      </c>
      <c r="D74" t="s">
        <v>325</v>
      </c>
      <c r="E74" s="2">
        <v>4</v>
      </c>
      <c r="F74" s="2">
        <v>200</v>
      </c>
      <c r="G74" s="2">
        <v>800</v>
      </c>
      <c r="H74" t="s">
        <v>329</v>
      </c>
      <c r="I74" s="2">
        <v>610002</v>
      </c>
    </row>
    <row r="75" spans="1:9">
      <c r="A75" t="s">
        <v>270</v>
      </c>
      <c r="B75" t="s">
        <v>318</v>
      </c>
      <c r="C75" t="s">
        <v>322</v>
      </c>
      <c r="D75" t="s">
        <v>326</v>
      </c>
      <c r="E75" s="2">
        <v>5</v>
      </c>
      <c r="F75" s="2">
        <v>300</v>
      </c>
      <c r="G75" s="2">
        <v>1500</v>
      </c>
      <c r="H75" t="s">
        <v>330</v>
      </c>
      <c r="I75" s="2">
        <v>610003</v>
      </c>
    </row>
    <row r="76" spans="1:9">
      <c r="A76" t="s">
        <v>271</v>
      </c>
      <c r="B76" t="s">
        <v>319</v>
      </c>
      <c r="C76" t="s">
        <v>323</v>
      </c>
      <c r="D76" t="s">
        <v>327</v>
      </c>
      <c r="E76" s="2">
        <v>1</v>
      </c>
      <c r="F76" s="2">
        <v>400</v>
      </c>
      <c r="G76" s="2">
        <v>400</v>
      </c>
      <c r="H76" t="s">
        <v>331</v>
      </c>
      <c r="I76" s="2">
        <v>610001</v>
      </c>
    </row>
    <row r="77" spans="1:9">
      <c r="A77" t="s">
        <v>272</v>
      </c>
      <c r="B77" t="s">
        <v>320</v>
      </c>
      <c r="C77" t="s">
        <v>324</v>
      </c>
      <c r="D77" t="s">
        <v>328</v>
      </c>
      <c r="E77" s="2">
        <v>2</v>
      </c>
      <c r="F77" s="2">
        <v>100</v>
      </c>
      <c r="G77" s="2">
        <v>200</v>
      </c>
      <c r="H77" t="s">
        <v>329</v>
      </c>
      <c r="I77" s="2">
        <v>610002</v>
      </c>
    </row>
    <row r="78" spans="1:9">
      <c r="A78" t="s">
        <v>273</v>
      </c>
      <c r="B78" t="s">
        <v>317</v>
      </c>
      <c r="C78" t="s">
        <v>321</v>
      </c>
      <c r="D78" t="s">
        <v>325</v>
      </c>
      <c r="E78" s="2">
        <v>3</v>
      </c>
      <c r="F78" s="2">
        <v>200</v>
      </c>
      <c r="G78" s="2">
        <v>600</v>
      </c>
      <c r="H78" t="s">
        <v>330</v>
      </c>
      <c r="I78" s="2">
        <v>610003</v>
      </c>
    </row>
    <row r="79" spans="1:9">
      <c r="A79" t="s">
        <v>274</v>
      </c>
      <c r="B79" t="s">
        <v>318</v>
      </c>
      <c r="C79" t="s">
        <v>322</v>
      </c>
      <c r="D79" t="s">
        <v>326</v>
      </c>
      <c r="E79" s="2">
        <v>4</v>
      </c>
      <c r="F79" s="2">
        <v>300</v>
      </c>
      <c r="G79" s="2">
        <v>1200</v>
      </c>
      <c r="H79" t="s">
        <v>331</v>
      </c>
      <c r="I79" s="2">
        <v>610001</v>
      </c>
    </row>
    <row r="80" spans="1:9">
      <c r="A80" t="s">
        <v>275</v>
      </c>
      <c r="B80" t="s">
        <v>319</v>
      </c>
      <c r="C80" t="s">
        <v>323</v>
      </c>
      <c r="D80" t="s">
        <v>327</v>
      </c>
      <c r="E80" s="2">
        <v>5</v>
      </c>
      <c r="F80" s="2">
        <v>400</v>
      </c>
      <c r="G80" s="2">
        <v>2000</v>
      </c>
      <c r="H80" t="s">
        <v>329</v>
      </c>
      <c r="I80" s="2">
        <v>610002</v>
      </c>
    </row>
    <row r="81" spans="1:9">
      <c r="A81" t="s">
        <v>276</v>
      </c>
      <c r="B81" t="s">
        <v>320</v>
      </c>
      <c r="C81" t="s">
        <v>324</v>
      </c>
      <c r="D81" t="s">
        <v>328</v>
      </c>
      <c r="E81" s="2">
        <v>1</v>
      </c>
      <c r="F81" s="2">
        <v>100</v>
      </c>
      <c r="G81" s="2">
        <v>100</v>
      </c>
      <c r="H81" t="s">
        <v>330</v>
      </c>
      <c r="I81" s="2">
        <v>610003</v>
      </c>
    </row>
    <row r="82" spans="1:9">
      <c r="A82" t="s">
        <v>277</v>
      </c>
      <c r="B82" t="s">
        <v>317</v>
      </c>
      <c r="C82" t="s">
        <v>321</v>
      </c>
      <c r="D82" t="s">
        <v>325</v>
      </c>
      <c r="E82" s="2">
        <v>2</v>
      </c>
      <c r="F82" s="2">
        <v>200</v>
      </c>
      <c r="G82" s="2">
        <v>400</v>
      </c>
      <c r="H82" t="s">
        <v>329</v>
      </c>
      <c r="I82" s="2">
        <v>610002</v>
      </c>
    </row>
    <row r="83" spans="1:9">
      <c r="A83" t="s">
        <v>278</v>
      </c>
      <c r="B83" t="s">
        <v>318</v>
      </c>
      <c r="C83" t="s">
        <v>322</v>
      </c>
      <c r="D83" t="s">
        <v>326</v>
      </c>
      <c r="E83" s="2">
        <v>3</v>
      </c>
      <c r="F83" s="2">
        <v>300</v>
      </c>
      <c r="G83" s="2">
        <v>900</v>
      </c>
      <c r="H83" t="s">
        <v>330</v>
      </c>
      <c r="I83" s="2">
        <v>610003</v>
      </c>
    </row>
    <row r="84" spans="1:9">
      <c r="A84" t="s">
        <v>279</v>
      </c>
      <c r="B84" t="s">
        <v>319</v>
      </c>
      <c r="C84" t="s">
        <v>323</v>
      </c>
      <c r="D84" t="s">
        <v>327</v>
      </c>
      <c r="E84" s="2">
        <v>4</v>
      </c>
      <c r="F84" s="2">
        <v>400</v>
      </c>
      <c r="G84" s="2">
        <v>1600</v>
      </c>
      <c r="H84" t="s">
        <v>331</v>
      </c>
      <c r="I84" s="2">
        <v>610001</v>
      </c>
    </row>
    <row r="85" spans="1:9">
      <c r="A85" t="s">
        <v>280</v>
      </c>
      <c r="B85" t="s">
        <v>320</v>
      </c>
      <c r="C85" t="s">
        <v>324</v>
      </c>
      <c r="D85" t="s">
        <v>328</v>
      </c>
      <c r="E85" s="2">
        <v>5</v>
      </c>
      <c r="F85" s="2">
        <v>100</v>
      </c>
      <c r="G85" s="2">
        <v>500</v>
      </c>
      <c r="H85" t="s">
        <v>329</v>
      </c>
      <c r="I85" s="2">
        <v>610002</v>
      </c>
    </row>
    <row r="86" spans="1:9">
      <c r="A86" t="s">
        <v>281</v>
      </c>
      <c r="B86" t="s">
        <v>317</v>
      </c>
      <c r="C86" t="s">
        <v>321</v>
      </c>
      <c r="D86" t="s">
        <v>325</v>
      </c>
      <c r="E86" s="2">
        <v>1</v>
      </c>
      <c r="F86" s="2">
        <v>200</v>
      </c>
      <c r="G86" s="2">
        <v>200</v>
      </c>
      <c r="H86" t="s">
        <v>330</v>
      </c>
      <c r="I86" s="2">
        <v>610003</v>
      </c>
    </row>
    <row r="87" spans="1:9">
      <c r="A87" t="s">
        <v>282</v>
      </c>
      <c r="B87" t="s">
        <v>318</v>
      </c>
      <c r="C87" t="s">
        <v>322</v>
      </c>
      <c r="D87" t="s">
        <v>326</v>
      </c>
      <c r="E87" s="2">
        <v>2</v>
      </c>
      <c r="F87" s="2">
        <v>300</v>
      </c>
      <c r="G87" s="2">
        <v>600</v>
      </c>
      <c r="H87" t="s">
        <v>331</v>
      </c>
      <c r="I87" s="2">
        <v>610001</v>
      </c>
    </row>
    <row r="88" spans="1:9">
      <c r="A88" t="s">
        <v>283</v>
      </c>
      <c r="B88" t="s">
        <v>319</v>
      </c>
      <c r="C88" t="s">
        <v>323</v>
      </c>
      <c r="D88" t="s">
        <v>327</v>
      </c>
      <c r="E88" s="2">
        <v>3</v>
      </c>
      <c r="F88" s="2">
        <v>400</v>
      </c>
      <c r="G88" s="2">
        <v>1200</v>
      </c>
      <c r="H88" t="s">
        <v>329</v>
      </c>
      <c r="I88" s="2">
        <v>610002</v>
      </c>
    </row>
    <row r="89" spans="1:9">
      <c r="A89" t="s">
        <v>284</v>
      </c>
      <c r="B89" t="s">
        <v>320</v>
      </c>
      <c r="C89" t="s">
        <v>324</v>
      </c>
      <c r="D89" t="s">
        <v>328</v>
      </c>
      <c r="E89" s="2">
        <v>4</v>
      </c>
      <c r="F89" s="2">
        <v>100</v>
      </c>
      <c r="G89" s="2">
        <v>400</v>
      </c>
      <c r="H89" t="s">
        <v>330</v>
      </c>
      <c r="I89" s="2">
        <v>610003</v>
      </c>
    </row>
    <row r="90" spans="1:9">
      <c r="A90" t="s">
        <v>285</v>
      </c>
      <c r="B90" t="s">
        <v>317</v>
      </c>
      <c r="C90" t="s">
        <v>321</v>
      </c>
      <c r="D90" t="s">
        <v>325</v>
      </c>
      <c r="E90" s="2">
        <v>5</v>
      </c>
      <c r="F90" s="2">
        <v>200</v>
      </c>
      <c r="G90" s="2">
        <v>1000</v>
      </c>
      <c r="H90" t="s">
        <v>331</v>
      </c>
      <c r="I90" s="2">
        <v>610001</v>
      </c>
    </row>
    <row r="91" spans="1:9">
      <c r="A91" t="s">
        <v>286</v>
      </c>
      <c r="B91" t="s">
        <v>318</v>
      </c>
      <c r="C91" t="s">
        <v>322</v>
      </c>
      <c r="D91" t="s">
        <v>326</v>
      </c>
      <c r="E91" s="2">
        <v>1</v>
      </c>
      <c r="F91" s="2">
        <v>300</v>
      </c>
      <c r="G91" s="2">
        <v>300</v>
      </c>
      <c r="H91" t="s">
        <v>329</v>
      </c>
      <c r="I91" s="2">
        <v>610002</v>
      </c>
    </row>
    <row r="92" spans="1:9">
      <c r="A92" t="s">
        <v>287</v>
      </c>
      <c r="B92" t="s">
        <v>319</v>
      </c>
      <c r="C92" t="s">
        <v>323</v>
      </c>
      <c r="D92" t="s">
        <v>327</v>
      </c>
      <c r="E92" s="2">
        <v>2</v>
      </c>
      <c r="F92" s="2">
        <v>400</v>
      </c>
      <c r="G92" s="2">
        <v>800</v>
      </c>
      <c r="H92" t="s">
        <v>330</v>
      </c>
      <c r="I92" s="2">
        <v>610003</v>
      </c>
    </row>
    <row r="93" spans="1:9">
      <c r="A93" t="s">
        <v>288</v>
      </c>
      <c r="B93" t="s">
        <v>320</v>
      </c>
      <c r="C93" t="s">
        <v>324</v>
      </c>
      <c r="D93" t="s">
        <v>328</v>
      </c>
      <c r="E93" s="2">
        <v>3</v>
      </c>
      <c r="F93" s="2">
        <v>100</v>
      </c>
      <c r="G93" s="2">
        <v>300</v>
      </c>
      <c r="H93" t="s">
        <v>331</v>
      </c>
      <c r="I93" s="2">
        <v>610001</v>
      </c>
    </row>
    <row r="94" spans="1:9">
      <c r="A94" t="s">
        <v>289</v>
      </c>
      <c r="B94" t="s">
        <v>317</v>
      </c>
      <c r="C94" t="s">
        <v>321</v>
      </c>
      <c r="D94" t="s">
        <v>325</v>
      </c>
      <c r="E94" s="2">
        <v>4</v>
      </c>
      <c r="F94" s="2">
        <v>200</v>
      </c>
      <c r="G94" s="2">
        <v>800</v>
      </c>
      <c r="H94" t="s">
        <v>329</v>
      </c>
      <c r="I94" s="2">
        <v>610002</v>
      </c>
    </row>
    <row r="95" spans="1:9">
      <c r="A95" t="s">
        <v>290</v>
      </c>
      <c r="B95" t="s">
        <v>318</v>
      </c>
      <c r="C95" t="s">
        <v>322</v>
      </c>
      <c r="D95" t="s">
        <v>326</v>
      </c>
      <c r="E95" s="2">
        <v>5</v>
      </c>
      <c r="F95" s="2">
        <v>300</v>
      </c>
      <c r="G95" s="2">
        <v>1500</v>
      </c>
      <c r="H95" t="s">
        <v>330</v>
      </c>
      <c r="I95" s="2">
        <v>610003</v>
      </c>
    </row>
    <row r="96" spans="1:9">
      <c r="A96" t="s">
        <v>291</v>
      </c>
      <c r="B96" t="s">
        <v>319</v>
      </c>
      <c r="C96" t="s">
        <v>323</v>
      </c>
      <c r="D96" t="s">
        <v>327</v>
      </c>
      <c r="E96" s="2">
        <v>1</v>
      </c>
      <c r="F96" s="2">
        <v>400</v>
      </c>
      <c r="G96" s="2">
        <v>400</v>
      </c>
      <c r="H96" t="s">
        <v>331</v>
      </c>
      <c r="I96" s="2">
        <v>610001</v>
      </c>
    </row>
    <row r="97" spans="1:9">
      <c r="A97" t="s">
        <v>292</v>
      </c>
      <c r="B97" t="s">
        <v>320</v>
      </c>
      <c r="C97" t="s">
        <v>324</v>
      </c>
      <c r="D97" t="s">
        <v>328</v>
      </c>
      <c r="E97" s="2">
        <v>2</v>
      </c>
      <c r="F97" s="2">
        <v>100</v>
      </c>
      <c r="G97" s="2">
        <v>200</v>
      </c>
      <c r="H97" t="s">
        <v>329</v>
      </c>
      <c r="I97" s="2">
        <v>610002</v>
      </c>
    </row>
    <row r="98" spans="1:9">
      <c r="A98" t="s">
        <v>293</v>
      </c>
      <c r="B98" t="s">
        <v>317</v>
      </c>
      <c r="C98" t="s">
        <v>321</v>
      </c>
      <c r="D98" t="s">
        <v>325</v>
      </c>
      <c r="E98" s="2">
        <v>3</v>
      </c>
      <c r="F98" s="2">
        <v>200</v>
      </c>
      <c r="G98" s="2">
        <v>600</v>
      </c>
      <c r="H98" t="s">
        <v>330</v>
      </c>
      <c r="I98" s="2">
        <v>610003</v>
      </c>
    </row>
    <row r="99" spans="1:9">
      <c r="A99" t="s">
        <v>294</v>
      </c>
      <c r="B99" t="s">
        <v>318</v>
      </c>
      <c r="C99" t="s">
        <v>322</v>
      </c>
      <c r="D99" t="s">
        <v>326</v>
      </c>
      <c r="E99" s="2">
        <v>4</v>
      </c>
      <c r="F99" s="2">
        <v>300</v>
      </c>
      <c r="G99" s="2">
        <v>1200</v>
      </c>
      <c r="H99" t="s">
        <v>331</v>
      </c>
      <c r="I99" s="2">
        <v>610001</v>
      </c>
    </row>
    <row r="100" spans="1:9">
      <c r="A100" t="s">
        <v>295</v>
      </c>
      <c r="B100" t="s">
        <v>319</v>
      </c>
      <c r="C100" t="s">
        <v>323</v>
      </c>
      <c r="D100" t="s">
        <v>327</v>
      </c>
      <c r="E100" s="2">
        <v>5</v>
      </c>
      <c r="F100" s="2">
        <v>400</v>
      </c>
      <c r="G100" s="2">
        <v>2000</v>
      </c>
      <c r="H100" t="s">
        <v>329</v>
      </c>
      <c r="I100" s="2">
        <v>610002</v>
      </c>
    </row>
    <row r="101" spans="1:9">
      <c r="A101" t="s">
        <v>296</v>
      </c>
      <c r="B101" t="s">
        <v>320</v>
      </c>
      <c r="C101" t="s">
        <v>324</v>
      </c>
      <c r="D101" t="s">
        <v>328</v>
      </c>
      <c r="E101" s="2">
        <v>1</v>
      </c>
      <c r="F101" s="2">
        <v>100</v>
      </c>
      <c r="G101" s="2">
        <v>100</v>
      </c>
      <c r="H101" t="s">
        <v>330</v>
      </c>
      <c r="I101" s="2">
        <v>610003</v>
      </c>
    </row>
    <row r="102" spans="1:9">
      <c r="A102" t="s">
        <v>297</v>
      </c>
      <c r="B102" t="s">
        <v>317</v>
      </c>
      <c r="C102" t="s">
        <v>321</v>
      </c>
      <c r="D102" t="s">
        <v>325</v>
      </c>
      <c r="E102" s="2">
        <v>2</v>
      </c>
      <c r="F102" s="2">
        <v>200</v>
      </c>
      <c r="G102" s="2">
        <v>400</v>
      </c>
      <c r="H102" t="s">
        <v>329</v>
      </c>
      <c r="I102" s="2">
        <v>610002</v>
      </c>
    </row>
    <row r="103" spans="1:9">
      <c r="A103" t="s">
        <v>298</v>
      </c>
      <c r="B103" t="s">
        <v>318</v>
      </c>
      <c r="C103" t="s">
        <v>322</v>
      </c>
      <c r="D103" t="s">
        <v>326</v>
      </c>
      <c r="E103" s="2">
        <v>3</v>
      </c>
      <c r="F103" s="2">
        <v>300</v>
      </c>
      <c r="G103" s="2">
        <v>900</v>
      </c>
      <c r="H103" t="s">
        <v>330</v>
      </c>
      <c r="I103" s="2">
        <v>610003</v>
      </c>
    </row>
    <row r="104" spans="1:9">
      <c r="A104" t="s">
        <v>299</v>
      </c>
      <c r="B104" t="s">
        <v>319</v>
      </c>
      <c r="C104" t="s">
        <v>323</v>
      </c>
      <c r="D104" t="s">
        <v>327</v>
      </c>
      <c r="E104" s="2">
        <v>4</v>
      </c>
      <c r="F104" s="2">
        <v>400</v>
      </c>
      <c r="G104" s="2">
        <v>1600</v>
      </c>
      <c r="H104" t="s">
        <v>331</v>
      </c>
      <c r="I104" s="2">
        <v>610001</v>
      </c>
    </row>
    <row r="105" spans="1:9">
      <c r="A105" t="s">
        <v>300</v>
      </c>
      <c r="B105" t="s">
        <v>320</v>
      </c>
      <c r="C105" t="s">
        <v>324</v>
      </c>
      <c r="D105" t="s">
        <v>328</v>
      </c>
      <c r="E105" s="2">
        <v>5</v>
      </c>
      <c r="F105" s="2">
        <v>100</v>
      </c>
      <c r="G105" s="2">
        <v>500</v>
      </c>
      <c r="H105" t="s">
        <v>329</v>
      </c>
      <c r="I105" s="2">
        <v>610002</v>
      </c>
    </row>
    <row r="106" spans="1:9">
      <c r="A106" t="s">
        <v>301</v>
      </c>
      <c r="B106" t="s">
        <v>317</v>
      </c>
      <c r="C106" t="s">
        <v>321</v>
      </c>
      <c r="D106" t="s">
        <v>325</v>
      </c>
      <c r="E106" s="2">
        <v>1</v>
      </c>
      <c r="F106" s="2">
        <v>200</v>
      </c>
      <c r="G106" s="2">
        <v>200</v>
      </c>
      <c r="H106" t="s">
        <v>330</v>
      </c>
      <c r="I106" s="2">
        <v>610003</v>
      </c>
    </row>
    <row r="107" spans="1:9">
      <c r="A107" t="s">
        <v>302</v>
      </c>
      <c r="B107" t="s">
        <v>318</v>
      </c>
      <c r="C107" t="s">
        <v>322</v>
      </c>
      <c r="D107" t="s">
        <v>326</v>
      </c>
      <c r="E107" s="2">
        <v>2</v>
      </c>
      <c r="F107" s="2">
        <v>300</v>
      </c>
      <c r="G107" s="2">
        <v>600</v>
      </c>
      <c r="H107" t="s">
        <v>331</v>
      </c>
      <c r="I107" s="2">
        <v>610001</v>
      </c>
    </row>
    <row r="108" spans="1:9">
      <c r="A108" t="s">
        <v>303</v>
      </c>
      <c r="B108" t="s">
        <v>319</v>
      </c>
      <c r="C108" t="s">
        <v>323</v>
      </c>
      <c r="D108" t="s">
        <v>327</v>
      </c>
      <c r="E108" s="2">
        <v>3</v>
      </c>
      <c r="F108" s="2">
        <v>400</v>
      </c>
      <c r="G108" s="2">
        <v>1200</v>
      </c>
      <c r="H108" t="s">
        <v>329</v>
      </c>
      <c r="I108" s="2">
        <v>610002</v>
      </c>
    </row>
    <row r="109" spans="1:9">
      <c r="A109" t="s">
        <v>304</v>
      </c>
      <c r="B109" t="s">
        <v>320</v>
      </c>
      <c r="C109" t="s">
        <v>324</v>
      </c>
      <c r="D109" t="s">
        <v>328</v>
      </c>
      <c r="E109" s="2">
        <v>4</v>
      </c>
      <c r="F109" s="2">
        <v>100</v>
      </c>
      <c r="G109" s="2">
        <v>400</v>
      </c>
      <c r="H109" t="s">
        <v>330</v>
      </c>
      <c r="I109" s="2">
        <v>610003</v>
      </c>
    </row>
    <row r="110" spans="1:9">
      <c r="A110" t="s">
        <v>305</v>
      </c>
      <c r="B110" t="s">
        <v>317</v>
      </c>
      <c r="C110" t="s">
        <v>321</v>
      </c>
      <c r="D110" t="s">
        <v>325</v>
      </c>
      <c r="E110" s="2">
        <v>5</v>
      </c>
      <c r="F110" s="2">
        <v>200</v>
      </c>
      <c r="G110" s="2">
        <v>1000</v>
      </c>
      <c r="H110" t="s">
        <v>331</v>
      </c>
      <c r="I110" s="2">
        <v>610001</v>
      </c>
    </row>
    <row r="111" spans="1:9">
      <c r="A111" t="s">
        <v>306</v>
      </c>
      <c r="B111" t="s">
        <v>318</v>
      </c>
      <c r="C111" t="s">
        <v>322</v>
      </c>
      <c r="D111" t="s">
        <v>326</v>
      </c>
      <c r="E111" s="2">
        <v>1</v>
      </c>
      <c r="F111" s="2">
        <v>300</v>
      </c>
      <c r="G111" s="2">
        <v>300</v>
      </c>
      <c r="H111" t="s">
        <v>329</v>
      </c>
      <c r="I111" s="2">
        <v>610002</v>
      </c>
    </row>
    <row r="112" spans="1:9">
      <c r="A112" t="s">
        <v>307</v>
      </c>
      <c r="B112" t="s">
        <v>319</v>
      </c>
      <c r="C112" t="s">
        <v>323</v>
      </c>
      <c r="D112" t="s">
        <v>327</v>
      </c>
      <c r="E112" s="2">
        <v>2</v>
      </c>
      <c r="F112" s="2">
        <v>400</v>
      </c>
      <c r="G112" s="2">
        <v>800</v>
      </c>
      <c r="H112" t="s">
        <v>330</v>
      </c>
      <c r="I112" s="2">
        <v>610003</v>
      </c>
    </row>
    <row r="113" spans="1:9">
      <c r="A113" t="s">
        <v>308</v>
      </c>
      <c r="B113" t="s">
        <v>320</v>
      </c>
      <c r="C113" t="s">
        <v>324</v>
      </c>
      <c r="D113" t="s">
        <v>328</v>
      </c>
      <c r="E113" s="2">
        <v>3</v>
      </c>
      <c r="F113" s="2">
        <v>100</v>
      </c>
      <c r="G113" s="2">
        <v>300</v>
      </c>
      <c r="H113" t="s">
        <v>331</v>
      </c>
      <c r="I113" s="2">
        <v>610001</v>
      </c>
    </row>
    <row r="114" spans="1:9">
      <c r="A114" t="s">
        <v>309</v>
      </c>
      <c r="B114" t="s">
        <v>317</v>
      </c>
      <c r="C114" t="s">
        <v>321</v>
      </c>
      <c r="D114" t="s">
        <v>325</v>
      </c>
      <c r="E114" s="2">
        <v>4</v>
      </c>
      <c r="F114" s="2">
        <v>200</v>
      </c>
      <c r="G114" s="2">
        <v>800</v>
      </c>
      <c r="H114" t="s">
        <v>329</v>
      </c>
      <c r="I114" s="2">
        <v>610002</v>
      </c>
    </row>
    <row r="115" spans="1:9">
      <c r="A115" t="s">
        <v>310</v>
      </c>
      <c r="B115" t="s">
        <v>318</v>
      </c>
      <c r="C115" t="s">
        <v>322</v>
      </c>
      <c r="D115" t="s">
        <v>326</v>
      </c>
      <c r="E115" s="2">
        <v>5</v>
      </c>
      <c r="F115" s="2">
        <v>300</v>
      </c>
      <c r="G115" s="2">
        <v>1500</v>
      </c>
      <c r="H115" t="s">
        <v>330</v>
      </c>
      <c r="I115" s="2">
        <v>610003</v>
      </c>
    </row>
    <row r="116" spans="1:9">
      <c r="A116" t="s">
        <v>311</v>
      </c>
      <c r="B116" t="s">
        <v>319</v>
      </c>
      <c r="C116" t="s">
        <v>323</v>
      </c>
      <c r="D116" t="s">
        <v>327</v>
      </c>
      <c r="E116" s="2">
        <v>1</v>
      </c>
      <c r="F116" s="2">
        <v>400</v>
      </c>
      <c r="G116" s="2">
        <v>400</v>
      </c>
      <c r="H116" t="s">
        <v>331</v>
      </c>
      <c r="I116" s="2">
        <v>610001</v>
      </c>
    </row>
    <row r="117" spans="1:9">
      <c r="A117" t="s">
        <v>312</v>
      </c>
      <c r="B117" t="s">
        <v>320</v>
      </c>
      <c r="C117" t="s">
        <v>324</v>
      </c>
      <c r="D117" t="s">
        <v>328</v>
      </c>
      <c r="E117" s="2">
        <v>2</v>
      </c>
      <c r="F117" s="2">
        <v>100</v>
      </c>
      <c r="G117" s="2">
        <v>200</v>
      </c>
      <c r="H117" t="s">
        <v>329</v>
      </c>
      <c r="I117" s="2">
        <v>610002</v>
      </c>
    </row>
    <row r="118" spans="1:9">
      <c r="A118" t="s">
        <v>313</v>
      </c>
      <c r="B118" t="s">
        <v>317</v>
      </c>
      <c r="C118" t="s">
        <v>321</v>
      </c>
      <c r="D118" t="s">
        <v>325</v>
      </c>
      <c r="E118" s="2">
        <v>3</v>
      </c>
      <c r="F118" s="2">
        <v>200</v>
      </c>
      <c r="G118" s="2">
        <v>600</v>
      </c>
      <c r="H118" t="s">
        <v>330</v>
      </c>
      <c r="I118" s="2">
        <v>610003</v>
      </c>
    </row>
    <row r="119" spans="1:9">
      <c r="A119" t="s">
        <v>314</v>
      </c>
      <c r="B119" t="s">
        <v>318</v>
      </c>
      <c r="C119" t="s">
        <v>322</v>
      </c>
      <c r="D119" t="s">
        <v>326</v>
      </c>
      <c r="E119" s="2">
        <v>4</v>
      </c>
      <c r="F119" s="2">
        <v>300</v>
      </c>
      <c r="G119" s="2">
        <v>1200</v>
      </c>
      <c r="H119" t="s">
        <v>331</v>
      </c>
      <c r="I119" s="2">
        <v>610001</v>
      </c>
    </row>
    <row r="120" spans="1:9">
      <c r="A120" t="s">
        <v>315</v>
      </c>
      <c r="B120" t="s">
        <v>319</v>
      </c>
      <c r="C120" t="s">
        <v>323</v>
      </c>
      <c r="D120" t="s">
        <v>327</v>
      </c>
      <c r="E120" s="2">
        <v>5</v>
      </c>
      <c r="F120" s="2">
        <v>400</v>
      </c>
      <c r="G120" s="2">
        <v>2000</v>
      </c>
      <c r="H120" t="s">
        <v>329</v>
      </c>
      <c r="I120" s="2">
        <v>610002</v>
      </c>
    </row>
    <row r="121" spans="1:9">
      <c r="A121" t="s">
        <v>316</v>
      </c>
      <c r="B121" t="s">
        <v>320</v>
      </c>
      <c r="C121" t="s">
        <v>324</v>
      </c>
      <c r="D121" t="s">
        <v>328</v>
      </c>
      <c r="E121" s="2">
        <v>1</v>
      </c>
      <c r="F121" s="2">
        <v>100</v>
      </c>
      <c r="G121" s="2">
        <v>100</v>
      </c>
      <c r="H121" t="s">
        <v>330</v>
      </c>
      <c r="I121" s="2">
        <v>610003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2.7109375" style="2" customWidth="1"/>
    <col min="6" max="6" width="16.7109375" style="2" customWidth="1"/>
    <col min="7" max="7" width="13.7109375" style="2" customWidth="1"/>
    <col min="8" max="8" width="13.7109375" customWidth="1"/>
    <col min="9" max="9" width="12.7109375" style="2" customWidth="1"/>
    <col min="10" max="10" width="15.7109375" customWidth="1"/>
    <col min="11" max="12" width="12.7109375" customWidth="1"/>
  </cols>
  <sheetData>
    <row r="1" spans="1:12">
      <c r="A1" t="s">
        <v>39</v>
      </c>
      <c r="B1" t="s">
        <v>40</v>
      </c>
      <c r="C1" t="s">
        <v>41</v>
      </c>
      <c r="D1" t="s">
        <v>42</v>
      </c>
      <c r="E1" s="2" t="s">
        <v>43</v>
      </c>
      <c r="F1" s="2" t="s">
        <v>44</v>
      </c>
      <c r="G1" s="2" t="s">
        <v>45</v>
      </c>
      <c r="H1" t="s">
        <v>46</v>
      </c>
      <c r="I1" s="2" t="s">
        <v>47</v>
      </c>
      <c r="J1" t="s">
        <v>19</v>
      </c>
      <c r="K1" t="s">
        <v>48</v>
      </c>
      <c r="L1" t="s">
        <v>49</v>
      </c>
    </row>
    <row r="2" spans="1:12">
      <c r="A2" t="s">
        <v>197</v>
      </c>
      <c r="B2" t="s">
        <v>317</v>
      </c>
      <c r="C2" t="s">
        <v>321</v>
      </c>
      <c r="D2" t="s">
        <v>325</v>
      </c>
      <c r="E2" s="2">
        <v>2</v>
      </c>
      <c r="F2" s="2">
        <v>200</v>
      </c>
      <c r="G2" s="2">
        <v>400</v>
      </c>
      <c r="H2" t="s">
        <v>329</v>
      </c>
      <c r="I2" s="2">
        <v>610002</v>
      </c>
      <c r="J2" t="s">
        <v>332</v>
      </c>
      <c r="K2" t="s">
        <v>100</v>
      </c>
      <c r="L2" t="s">
        <v>101</v>
      </c>
    </row>
    <row r="3" spans="1:12">
      <c r="A3" t="s">
        <v>198</v>
      </c>
      <c r="B3" t="s">
        <v>318</v>
      </c>
      <c r="C3" t="s">
        <v>322</v>
      </c>
      <c r="D3" t="s">
        <v>326</v>
      </c>
      <c r="E3" s="2">
        <v>3</v>
      </c>
      <c r="F3" s="2">
        <v>300</v>
      </c>
      <c r="G3" s="2">
        <v>900</v>
      </c>
      <c r="H3" t="s">
        <v>330</v>
      </c>
      <c r="I3" s="2">
        <v>610003</v>
      </c>
      <c r="J3" t="s">
        <v>333</v>
      </c>
      <c r="K3" t="s">
        <v>100</v>
      </c>
      <c r="L3" t="s">
        <v>101</v>
      </c>
    </row>
    <row r="4" spans="1:12">
      <c r="A4" t="s">
        <v>199</v>
      </c>
      <c r="B4" t="s">
        <v>319</v>
      </c>
      <c r="C4" t="s">
        <v>323</v>
      </c>
      <c r="D4" t="s">
        <v>327</v>
      </c>
      <c r="E4" s="2">
        <v>4</v>
      </c>
      <c r="F4" s="2">
        <v>400</v>
      </c>
      <c r="G4" s="2">
        <v>1600</v>
      </c>
      <c r="H4" t="s">
        <v>331</v>
      </c>
      <c r="I4" s="2">
        <v>610001</v>
      </c>
      <c r="J4" t="s">
        <v>334</v>
      </c>
      <c r="K4" t="s">
        <v>100</v>
      </c>
      <c r="L4" t="s">
        <v>101</v>
      </c>
    </row>
    <row r="5" spans="1:12">
      <c r="A5" t="s">
        <v>200</v>
      </c>
      <c r="B5" t="s">
        <v>320</v>
      </c>
      <c r="C5" t="s">
        <v>324</v>
      </c>
      <c r="D5" t="s">
        <v>328</v>
      </c>
      <c r="E5" s="2">
        <v>5</v>
      </c>
      <c r="F5" s="2">
        <v>100</v>
      </c>
      <c r="G5" s="2">
        <v>500</v>
      </c>
      <c r="H5" t="s">
        <v>329</v>
      </c>
      <c r="I5" s="2">
        <v>610002</v>
      </c>
      <c r="J5" t="s">
        <v>335</v>
      </c>
      <c r="K5" t="s">
        <v>100</v>
      </c>
      <c r="L5" t="s">
        <v>101</v>
      </c>
    </row>
    <row r="6" spans="1:12">
      <c r="A6" t="s">
        <v>201</v>
      </c>
      <c r="B6" t="s">
        <v>317</v>
      </c>
      <c r="C6" t="s">
        <v>321</v>
      </c>
      <c r="D6" t="s">
        <v>325</v>
      </c>
      <c r="E6" s="2">
        <v>1</v>
      </c>
      <c r="F6" s="2">
        <v>200</v>
      </c>
      <c r="G6" s="2">
        <v>200</v>
      </c>
      <c r="H6" t="s">
        <v>330</v>
      </c>
      <c r="I6" s="2">
        <v>610003</v>
      </c>
      <c r="J6" t="s">
        <v>332</v>
      </c>
      <c r="K6" t="s">
        <v>100</v>
      </c>
      <c r="L6" t="s">
        <v>101</v>
      </c>
    </row>
    <row r="7" spans="1:12">
      <c r="A7" t="s">
        <v>202</v>
      </c>
      <c r="B7" t="s">
        <v>318</v>
      </c>
      <c r="C7" t="s">
        <v>322</v>
      </c>
      <c r="D7" t="s">
        <v>326</v>
      </c>
      <c r="E7" s="2">
        <v>2</v>
      </c>
      <c r="F7" s="2">
        <v>300</v>
      </c>
      <c r="G7" s="2">
        <v>600</v>
      </c>
      <c r="H7" t="s">
        <v>331</v>
      </c>
      <c r="I7" s="2">
        <v>610001</v>
      </c>
      <c r="J7" t="s">
        <v>333</v>
      </c>
      <c r="K7" t="s">
        <v>100</v>
      </c>
      <c r="L7" t="s">
        <v>101</v>
      </c>
    </row>
    <row r="8" spans="1:12">
      <c r="A8" t="s">
        <v>203</v>
      </c>
      <c r="B8" t="s">
        <v>319</v>
      </c>
      <c r="C8" t="s">
        <v>323</v>
      </c>
      <c r="D8" t="s">
        <v>327</v>
      </c>
      <c r="E8" s="2">
        <v>3</v>
      </c>
      <c r="F8" s="2">
        <v>400</v>
      </c>
      <c r="G8" s="2">
        <v>1200</v>
      </c>
      <c r="H8" t="s">
        <v>329</v>
      </c>
      <c r="I8" s="2">
        <v>610002</v>
      </c>
      <c r="J8" t="s">
        <v>334</v>
      </c>
      <c r="K8" t="s">
        <v>100</v>
      </c>
      <c r="L8" t="s">
        <v>101</v>
      </c>
    </row>
    <row r="9" spans="1:12">
      <c r="A9" t="s">
        <v>204</v>
      </c>
      <c r="B9" t="s">
        <v>320</v>
      </c>
      <c r="C9" t="s">
        <v>324</v>
      </c>
      <c r="D9" t="s">
        <v>328</v>
      </c>
      <c r="E9" s="2">
        <v>4</v>
      </c>
      <c r="F9" s="2">
        <v>100</v>
      </c>
      <c r="G9" s="2">
        <v>400</v>
      </c>
      <c r="H9" t="s">
        <v>330</v>
      </c>
      <c r="I9" s="2">
        <v>610003</v>
      </c>
      <c r="J9" t="s">
        <v>335</v>
      </c>
      <c r="K9" t="s">
        <v>100</v>
      </c>
      <c r="L9" t="s">
        <v>101</v>
      </c>
    </row>
    <row r="10" spans="1:12">
      <c r="A10" t="s">
        <v>205</v>
      </c>
      <c r="B10" t="s">
        <v>317</v>
      </c>
      <c r="C10" t="s">
        <v>321</v>
      </c>
      <c r="D10" t="s">
        <v>325</v>
      </c>
      <c r="E10" s="2">
        <v>5</v>
      </c>
      <c r="F10" s="2">
        <v>200</v>
      </c>
      <c r="G10" s="2">
        <v>1000</v>
      </c>
      <c r="H10" t="s">
        <v>331</v>
      </c>
      <c r="I10" s="2">
        <v>610001</v>
      </c>
      <c r="J10" t="s">
        <v>332</v>
      </c>
      <c r="K10" t="s">
        <v>100</v>
      </c>
      <c r="L10" t="s">
        <v>101</v>
      </c>
    </row>
    <row r="11" spans="1:12">
      <c r="A11" t="s">
        <v>206</v>
      </c>
      <c r="B11" t="s">
        <v>318</v>
      </c>
      <c r="C11" t="s">
        <v>322</v>
      </c>
      <c r="D11" t="s">
        <v>326</v>
      </c>
      <c r="E11" s="2">
        <v>1</v>
      </c>
      <c r="F11" s="2">
        <v>300</v>
      </c>
      <c r="G11" s="2">
        <v>300</v>
      </c>
      <c r="H11" t="s">
        <v>329</v>
      </c>
      <c r="I11" s="2">
        <v>610002</v>
      </c>
      <c r="J11" t="s">
        <v>333</v>
      </c>
      <c r="K11" t="s">
        <v>100</v>
      </c>
      <c r="L11" t="s">
        <v>101</v>
      </c>
    </row>
    <row r="12" spans="1:12">
      <c r="A12" t="s">
        <v>207</v>
      </c>
      <c r="B12" t="s">
        <v>319</v>
      </c>
      <c r="C12" t="s">
        <v>323</v>
      </c>
      <c r="D12" t="s">
        <v>327</v>
      </c>
      <c r="E12" s="2">
        <v>2</v>
      </c>
      <c r="F12" s="2">
        <v>400</v>
      </c>
      <c r="G12" s="2">
        <v>800</v>
      </c>
      <c r="H12" t="s">
        <v>330</v>
      </c>
      <c r="I12" s="2">
        <v>610003</v>
      </c>
      <c r="J12" t="s">
        <v>334</v>
      </c>
      <c r="K12" t="s">
        <v>100</v>
      </c>
      <c r="L12" t="s">
        <v>101</v>
      </c>
    </row>
    <row r="13" spans="1:12">
      <c r="A13" t="s">
        <v>208</v>
      </c>
      <c r="B13" t="s">
        <v>320</v>
      </c>
      <c r="C13" t="s">
        <v>324</v>
      </c>
      <c r="D13" t="s">
        <v>328</v>
      </c>
      <c r="E13" s="2">
        <v>3</v>
      </c>
      <c r="F13" s="2">
        <v>100</v>
      </c>
      <c r="G13" s="2">
        <v>300</v>
      </c>
      <c r="H13" t="s">
        <v>331</v>
      </c>
      <c r="I13" s="2">
        <v>610001</v>
      </c>
      <c r="J13" t="s">
        <v>335</v>
      </c>
      <c r="K13" t="s">
        <v>100</v>
      </c>
      <c r="L13" t="s">
        <v>101</v>
      </c>
    </row>
    <row r="14" spans="1:12">
      <c r="A14" t="s">
        <v>209</v>
      </c>
      <c r="B14" t="s">
        <v>317</v>
      </c>
      <c r="C14" t="s">
        <v>321</v>
      </c>
      <c r="D14" t="s">
        <v>325</v>
      </c>
      <c r="E14" s="2">
        <v>4</v>
      </c>
      <c r="F14" s="2">
        <v>200</v>
      </c>
      <c r="G14" s="2">
        <v>800</v>
      </c>
      <c r="H14" t="s">
        <v>329</v>
      </c>
      <c r="I14" s="2">
        <v>610002</v>
      </c>
      <c r="J14" t="s">
        <v>332</v>
      </c>
      <c r="K14" t="s">
        <v>100</v>
      </c>
      <c r="L14" t="s">
        <v>101</v>
      </c>
    </row>
    <row r="15" spans="1:12">
      <c r="A15" t="s">
        <v>210</v>
      </c>
      <c r="B15" t="s">
        <v>318</v>
      </c>
      <c r="C15" t="s">
        <v>322</v>
      </c>
      <c r="D15" t="s">
        <v>326</v>
      </c>
      <c r="E15" s="2">
        <v>5</v>
      </c>
      <c r="F15" s="2">
        <v>300</v>
      </c>
      <c r="G15" s="2">
        <v>1500</v>
      </c>
      <c r="H15" t="s">
        <v>330</v>
      </c>
      <c r="I15" s="2">
        <v>610003</v>
      </c>
      <c r="J15" t="s">
        <v>333</v>
      </c>
      <c r="K15" t="s">
        <v>100</v>
      </c>
      <c r="L15" t="s">
        <v>101</v>
      </c>
    </row>
    <row r="16" spans="1:12">
      <c r="A16" t="s">
        <v>211</v>
      </c>
      <c r="B16" t="s">
        <v>319</v>
      </c>
      <c r="C16" t="s">
        <v>323</v>
      </c>
      <c r="D16" t="s">
        <v>327</v>
      </c>
      <c r="E16" s="2">
        <v>1</v>
      </c>
      <c r="F16" s="2">
        <v>400</v>
      </c>
      <c r="G16" s="2">
        <v>400</v>
      </c>
      <c r="H16" t="s">
        <v>331</v>
      </c>
      <c r="I16" s="2">
        <v>610001</v>
      </c>
      <c r="J16" t="s">
        <v>334</v>
      </c>
      <c r="K16" t="s">
        <v>100</v>
      </c>
      <c r="L16" t="s">
        <v>101</v>
      </c>
    </row>
    <row r="17" spans="1:12">
      <c r="A17" t="s">
        <v>212</v>
      </c>
      <c r="B17" t="s">
        <v>320</v>
      </c>
      <c r="C17" t="s">
        <v>324</v>
      </c>
      <c r="D17" t="s">
        <v>328</v>
      </c>
      <c r="E17" s="2">
        <v>2</v>
      </c>
      <c r="F17" s="2">
        <v>100</v>
      </c>
      <c r="G17" s="2">
        <v>200</v>
      </c>
      <c r="H17" t="s">
        <v>329</v>
      </c>
      <c r="I17" s="2">
        <v>610002</v>
      </c>
      <c r="J17" t="s">
        <v>335</v>
      </c>
      <c r="K17" t="s">
        <v>100</v>
      </c>
      <c r="L17" t="s">
        <v>101</v>
      </c>
    </row>
    <row r="18" spans="1:12">
      <c r="A18" t="s">
        <v>213</v>
      </c>
      <c r="B18" t="s">
        <v>317</v>
      </c>
      <c r="C18" t="s">
        <v>321</v>
      </c>
      <c r="D18" t="s">
        <v>325</v>
      </c>
      <c r="E18" s="2">
        <v>3</v>
      </c>
      <c r="F18" s="2">
        <v>200</v>
      </c>
      <c r="G18" s="2">
        <v>600</v>
      </c>
      <c r="H18" t="s">
        <v>330</v>
      </c>
      <c r="I18" s="2">
        <v>610003</v>
      </c>
      <c r="J18" t="s">
        <v>332</v>
      </c>
      <c r="K18" t="s">
        <v>100</v>
      </c>
      <c r="L18" t="s">
        <v>101</v>
      </c>
    </row>
    <row r="19" spans="1:12">
      <c r="A19" t="s">
        <v>214</v>
      </c>
      <c r="B19" t="s">
        <v>318</v>
      </c>
      <c r="C19" t="s">
        <v>322</v>
      </c>
      <c r="D19" t="s">
        <v>326</v>
      </c>
      <c r="E19" s="2">
        <v>4</v>
      </c>
      <c r="F19" s="2">
        <v>300</v>
      </c>
      <c r="G19" s="2">
        <v>1200</v>
      </c>
      <c r="H19" t="s">
        <v>331</v>
      </c>
      <c r="I19" s="2">
        <v>610001</v>
      </c>
      <c r="J19" t="s">
        <v>333</v>
      </c>
      <c r="K19" t="s">
        <v>100</v>
      </c>
      <c r="L19" t="s">
        <v>101</v>
      </c>
    </row>
    <row r="20" spans="1:12">
      <c r="A20" t="s">
        <v>215</v>
      </c>
      <c r="B20" t="s">
        <v>319</v>
      </c>
      <c r="C20" t="s">
        <v>323</v>
      </c>
      <c r="D20" t="s">
        <v>327</v>
      </c>
      <c r="E20" s="2">
        <v>5</v>
      </c>
      <c r="F20" s="2">
        <v>400</v>
      </c>
      <c r="G20" s="2">
        <v>2000</v>
      </c>
      <c r="H20" t="s">
        <v>329</v>
      </c>
      <c r="I20" s="2">
        <v>610002</v>
      </c>
      <c r="J20" t="s">
        <v>334</v>
      </c>
      <c r="K20" t="s">
        <v>100</v>
      </c>
      <c r="L20" t="s">
        <v>101</v>
      </c>
    </row>
    <row r="21" spans="1:12">
      <c r="A21" t="s">
        <v>216</v>
      </c>
      <c r="B21" t="s">
        <v>320</v>
      </c>
      <c r="C21" t="s">
        <v>324</v>
      </c>
      <c r="D21" t="s">
        <v>328</v>
      </c>
      <c r="E21" s="2">
        <v>1</v>
      </c>
      <c r="F21" s="2">
        <v>100</v>
      </c>
      <c r="G21" s="2">
        <v>100</v>
      </c>
      <c r="H21" t="s">
        <v>330</v>
      </c>
      <c r="I21" s="2">
        <v>610003</v>
      </c>
      <c r="J21" t="s">
        <v>335</v>
      </c>
      <c r="K21" t="s">
        <v>100</v>
      </c>
      <c r="L21" t="s">
        <v>101</v>
      </c>
    </row>
    <row r="22" spans="1:12">
      <c r="A22" t="s">
        <v>217</v>
      </c>
      <c r="B22" t="s">
        <v>317</v>
      </c>
      <c r="C22" t="s">
        <v>321</v>
      </c>
      <c r="D22" t="s">
        <v>325</v>
      </c>
      <c r="E22" s="2">
        <v>2</v>
      </c>
      <c r="F22" s="2">
        <v>200</v>
      </c>
      <c r="G22" s="2">
        <v>400</v>
      </c>
      <c r="H22" t="s">
        <v>329</v>
      </c>
      <c r="I22" s="2">
        <v>610002</v>
      </c>
      <c r="J22" t="s">
        <v>332</v>
      </c>
      <c r="K22" t="s">
        <v>100</v>
      </c>
      <c r="L22" t="s">
        <v>101</v>
      </c>
    </row>
    <row r="23" spans="1:12">
      <c r="A23" t="s">
        <v>218</v>
      </c>
      <c r="B23" t="s">
        <v>318</v>
      </c>
      <c r="C23" t="s">
        <v>322</v>
      </c>
      <c r="D23" t="s">
        <v>326</v>
      </c>
      <c r="E23" s="2">
        <v>3</v>
      </c>
      <c r="F23" s="2">
        <v>300</v>
      </c>
      <c r="G23" s="2">
        <v>900</v>
      </c>
      <c r="H23" t="s">
        <v>330</v>
      </c>
      <c r="I23" s="2">
        <v>610003</v>
      </c>
      <c r="J23" t="s">
        <v>333</v>
      </c>
      <c r="K23" t="s">
        <v>100</v>
      </c>
      <c r="L23" t="s">
        <v>101</v>
      </c>
    </row>
    <row r="24" spans="1:12">
      <c r="A24" t="s">
        <v>219</v>
      </c>
      <c r="B24" t="s">
        <v>319</v>
      </c>
      <c r="C24" t="s">
        <v>323</v>
      </c>
      <c r="D24" t="s">
        <v>327</v>
      </c>
      <c r="E24" s="2">
        <v>4</v>
      </c>
      <c r="F24" s="2">
        <v>400</v>
      </c>
      <c r="G24" s="2">
        <v>1600</v>
      </c>
      <c r="H24" t="s">
        <v>331</v>
      </c>
      <c r="I24" s="2">
        <v>610001</v>
      </c>
      <c r="J24" t="s">
        <v>334</v>
      </c>
      <c r="K24" t="s">
        <v>100</v>
      </c>
      <c r="L24" t="s">
        <v>101</v>
      </c>
    </row>
    <row r="25" spans="1:12">
      <c r="A25" t="s">
        <v>220</v>
      </c>
      <c r="B25" t="s">
        <v>320</v>
      </c>
      <c r="C25" t="s">
        <v>324</v>
      </c>
      <c r="D25" t="s">
        <v>328</v>
      </c>
      <c r="E25" s="2">
        <v>5</v>
      </c>
      <c r="F25" s="2">
        <v>100</v>
      </c>
      <c r="G25" s="2">
        <v>500</v>
      </c>
      <c r="H25" t="s">
        <v>329</v>
      </c>
      <c r="I25" s="2">
        <v>610002</v>
      </c>
      <c r="J25" t="s">
        <v>335</v>
      </c>
      <c r="K25" t="s">
        <v>100</v>
      </c>
      <c r="L25" t="s">
        <v>101</v>
      </c>
    </row>
    <row r="26" spans="1:12">
      <c r="A26" t="s">
        <v>221</v>
      </c>
      <c r="B26" t="s">
        <v>317</v>
      </c>
      <c r="C26" t="s">
        <v>321</v>
      </c>
      <c r="D26" t="s">
        <v>325</v>
      </c>
      <c r="E26" s="2">
        <v>1</v>
      </c>
      <c r="F26" s="2">
        <v>200</v>
      </c>
      <c r="G26" s="2">
        <v>200</v>
      </c>
      <c r="H26" t="s">
        <v>330</v>
      </c>
      <c r="I26" s="2">
        <v>610003</v>
      </c>
      <c r="J26" t="s">
        <v>332</v>
      </c>
      <c r="K26" t="s">
        <v>100</v>
      </c>
      <c r="L26" t="s">
        <v>101</v>
      </c>
    </row>
    <row r="27" spans="1:12">
      <c r="A27" t="s">
        <v>222</v>
      </c>
      <c r="B27" t="s">
        <v>318</v>
      </c>
      <c r="C27" t="s">
        <v>322</v>
      </c>
      <c r="D27" t="s">
        <v>326</v>
      </c>
      <c r="E27" s="2">
        <v>2</v>
      </c>
      <c r="F27" s="2">
        <v>300</v>
      </c>
      <c r="G27" s="2">
        <v>600</v>
      </c>
      <c r="H27" t="s">
        <v>331</v>
      </c>
      <c r="I27" s="2">
        <v>610001</v>
      </c>
      <c r="J27" t="s">
        <v>333</v>
      </c>
      <c r="K27" t="s">
        <v>100</v>
      </c>
      <c r="L27" t="s">
        <v>101</v>
      </c>
    </row>
    <row r="28" spans="1:12">
      <c r="A28" t="s">
        <v>223</v>
      </c>
      <c r="B28" t="s">
        <v>319</v>
      </c>
      <c r="C28" t="s">
        <v>323</v>
      </c>
      <c r="D28" t="s">
        <v>327</v>
      </c>
      <c r="E28" s="2">
        <v>3</v>
      </c>
      <c r="F28" s="2">
        <v>400</v>
      </c>
      <c r="G28" s="2">
        <v>1200</v>
      </c>
      <c r="H28" t="s">
        <v>329</v>
      </c>
      <c r="I28" s="2">
        <v>610002</v>
      </c>
      <c r="J28" t="s">
        <v>334</v>
      </c>
      <c r="K28" t="s">
        <v>100</v>
      </c>
      <c r="L28" t="s">
        <v>101</v>
      </c>
    </row>
    <row r="29" spans="1:12">
      <c r="A29" t="s">
        <v>224</v>
      </c>
      <c r="B29" t="s">
        <v>320</v>
      </c>
      <c r="C29" t="s">
        <v>324</v>
      </c>
      <c r="D29" t="s">
        <v>328</v>
      </c>
      <c r="E29" s="2">
        <v>4</v>
      </c>
      <c r="F29" s="2">
        <v>100</v>
      </c>
      <c r="G29" s="2">
        <v>400</v>
      </c>
      <c r="H29" t="s">
        <v>330</v>
      </c>
      <c r="I29" s="2">
        <v>610003</v>
      </c>
      <c r="J29" t="s">
        <v>335</v>
      </c>
      <c r="K29" t="s">
        <v>100</v>
      </c>
      <c r="L29" t="s">
        <v>101</v>
      </c>
    </row>
    <row r="30" spans="1:12">
      <c r="A30" t="s">
        <v>225</v>
      </c>
      <c r="B30" t="s">
        <v>317</v>
      </c>
      <c r="C30" t="s">
        <v>321</v>
      </c>
      <c r="D30" t="s">
        <v>325</v>
      </c>
      <c r="E30" s="2">
        <v>5</v>
      </c>
      <c r="F30" s="2">
        <v>200</v>
      </c>
      <c r="G30" s="2">
        <v>1000</v>
      </c>
      <c r="H30" t="s">
        <v>331</v>
      </c>
      <c r="I30" s="2">
        <v>610001</v>
      </c>
      <c r="J30" t="s">
        <v>332</v>
      </c>
      <c r="K30" t="s">
        <v>100</v>
      </c>
      <c r="L30" t="s">
        <v>101</v>
      </c>
    </row>
    <row r="31" spans="1:12">
      <c r="A31" t="s">
        <v>226</v>
      </c>
      <c r="B31" t="s">
        <v>318</v>
      </c>
      <c r="C31" t="s">
        <v>322</v>
      </c>
      <c r="D31" t="s">
        <v>326</v>
      </c>
      <c r="E31" s="2">
        <v>1</v>
      </c>
      <c r="F31" s="2">
        <v>300</v>
      </c>
      <c r="G31" s="2">
        <v>300</v>
      </c>
      <c r="H31" t="s">
        <v>329</v>
      </c>
      <c r="I31" s="2">
        <v>610002</v>
      </c>
      <c r="J31" t="s">
        <v>333</v>
      </c>
      <c r="K31" t="s">
        <v>100</v>
      </c>
      <c r="L31" t="s">
        <v>101</v>
      </c>
    </row>
    <row r="32" spans="1:12">
      <c r="A32" t="s">
        <v>227</v>
      </c>
      <c r="B32" t="s">
        <v>319</v>
      </c>
      <c r="C32" t="s">
        <v>323</v>
      </c>
      <c r="D32" t="s">
        <v>327</v>
      </c>
      <c r="E32" s="2">
        <v>2</v>
      </c>
      <c r="F32" s="2">
        <v>400</v>
      </c>
      <c r="G32" s="2">
        <v>800</v>
      </c>
      <c r="H32" t="s">
        <v>330</v>
      </c>
      <c r="I32" s="2">
        <v>610003</v>
      </c>
      <c r="J32" t="s">
        <v>334</v>
      </c>
      <c r="K32" t="s">
        <v>100</v>
      </c>
      <c r="L32" t="s">
        <v>101</v>
      </c>
    </row>
    <row r="33" spans="1:12">
      <c r="A33" t="s">
        <v>228</v>
      </c>
      <c r="B33" t="s">
        <v>320</v>
      </c>
      <c r="C33" t="s">
        <v>324</v>
      </c>
      <c r="D33" t="s">
        <v>328</v>
      </c>
      <c r="E33" s="2">
        <v>3</v>
      </c>
      <c r="F33" s="2">
        <v>100</v>
      </c>
      <c r="G33" s="2">
        <v>300</v>
      </c>
      <c r="H33" t="s">
        <v>331</v>
      </c>
      <c r="I33" s="2">
        <v>610001</v>
      </c>
      <c r="J33" t="s">
        <v>335</v>
      </c>
      <c r="K33" t="s">
        <v>100</v>
      </c>
      <c r="L33" t="s">
        <v>101</v>
      </c>
    </row>
    <row r="34" spans="1:12">
      <c r="A34" t="s">
        <v>229</v>
      </c>
      <c r="B34" t="s">
        <v>317</v>
      </c>
      <c r="C34" t="s">
        <v>321</v>
      </c>
      <c r="D34" t="s">
        <v>325</v>
      </c>
      <c r="E34" s="2">
        <v>4</v>
      </c>
      <c r="F34" s="2">
        <v>200</v>
      </c>
      <c r="G34" s="2">
        <v>800</v>
      </c>
      <c r="H34" t="s">
        <v>329</v>
      </c>
      <c r="I34" s="2">
        <v>610002</v>
      </c>
      <c r="J34" t="s">
        <v>332</v>
      </c>
      <c r="K34" t="s">
        <v>100</v>
      </c>
      <c r="L34" t="s">
        <v>101</v>
      </c>
    </row>
    <row r="35" spans="1:12">
      <c r="A35" t="s">
        <v>230</v>
      </c>
      <c r="B35" t="s">
        <v>318</v>
      </c>
      <c r="C35" t="s">
        <v>322</v>
      </c>
      <c r="D35" t="s">
        <v>326</v>
      </c>
      <c r="E35" s="2">
        <v>5</v>
      </c>
      <c r="F35" s="2">
        <v>300</v>
      </c>
      <c r="G35" s="2">
        <v>1500</v>
      </c>
      <c r="H35" t="s">
        <v>330</v>
      </c>
      <c r="I35" s="2">
        <v>610003</v>
      </c>
      <c r="J35" t="s">
        <v>333</v>
      </c>
      <c r="K35" t="s">
        <v>100</v>
      </c>
      <c r="L35" t="s">
        <v>101</v>
      </c>
    </row>
    <row r="36" spans="1:12">
      <c r="A36" t="s">
        <v>231</v>
      </c>
      <c r="B36" t="s">
        <v>319</v>
      </c>
      <c r="C36" t="s">
        <v>323</v>
      </c>
      <c r="D36" t="s">
        <v>327</v>
      </c>
      <c r="E36" s="2">
        <v>1</v>
      </c>
      <c r="F36" s="2">
        <v>400</v>
      </c>
      <c r="G36" s="2">
        <v>400</v>
      </c>
      <c r="H36" t="s">
        <v>331</v>
      </c>
      <c r="I36" s="2">
        <v>610001</v>
      </c>
      <c r="J36" t="s">
        <v>334</v>
      </c>
      <c r="K36" t="s">
        <v>100</v>
      </c>
      <c r="L36" t="s">
        <v>101</v>
      </c>
    </row>
    <row r="37" spans="1:12">
      <c r="A37" t="s">
        <v>232</v>
      </c>
      <c r="B37" t="s">
        <v>320</v>
      </c>
      <c r="C37" t="s">
        <v>324</v>
      </c>
      <c r="D37" t="s">
        <v>328</v>
      </c>
      <c r="E37" s="2">
        <v>2</v>
      </c>
      <c r="F37" s="2">
        <v>100</v>
      </c>
      <c r="G37" s="2">
        <v>200</v>
      </c>
      <c r="H37" t="s">
        <v>329</v>
      </c>
      <c r="I37" s="2">
        <v>610002</v>
      </c>
      <c r="J37" t="s">
        <v>335</v>
      </c>
      <c r="K37" t="s">
        <v>100</v>
      </c>
      <c r="L37" t="s">
        <v>101</v>
      </c>
    </row>
    <row r="38" spans="1:12">
      <c r="A38" t="s">
        <v>233</v>
      </c>
      <c r="B38" t="s">
        <v>317</v>
      </c>
      <c r="C38" t="s">
        <v>321</v>
      </c>
      <c r="D38" t="s">
        <v>325</v>
      </c>
      <c r="E38" s="2">
        <v>3</v>
      </c>
      <c r="F38" s="2">
        <v>200</v>
      </c>
      <c r="G38" s="2">
        <v>600</v>
      </c>
      <c r="H38" t="s">
        <v>330</v>
      </c>
      <c r="I38" s="2">
        <v>610003</v>
      </c>
      <c r="J38" t="s">
        <v>332</v>
      </c>
      <c r="K38" t="s">
        <v>100</v>
      </c>
      <c r="L38" t="s">
        <v>101</v>
      </c>
    </row>
    <row r="39" spans="1:12">
      <c r="A39" t="s">
        <v>234</v>
      </c>
      <c r="B39" t="s">
        <v>318</v>
      </c>
      <c r="C39" t="s">
        <v>322</v>
      </c>
      <c r="D39" t="s">
        <v>326</v>
      </c>
      <c r="E39" s="2">
        <v>4</v>
      </c>
      <c r="F39" s="2">
        <v>300</v>
      </c>
      <c r="G39" s="2">
        <v>1200</v>
      </c>
      <c r="H39" t="s">
        <v>331</v>
      </c>
      <c r="I39" s="2">
        <v>610001</v>
      </c>
      <c r="J39" t="s">
        <v>333</v>
      </c>
      <c r="K39" t="s">
        <v>100</v>
      </c>
      <c r="L39" t="s">
        <v>101</v>
      </c>
    </row>
    <row r="40" spans="1:12">
      <c r="A40" t="s">
        <v>235</v>
      </c>
      <c r="B40" t="s">
        <v>319</v>
      </c>
      <c r="C40" t="s">
        <v>323</v>
      </c>
      <c r="D40" t="s">
        <v>327</v>
      </c>
      <c r="E40" s="2">
        <v>5</v>
      </c>
      <c r="F40" s="2">
        <v>400</v>
      </c>
      <c r="G40" s="2">
        <v>2000</v>
      </c>
      <c r="H40" t="s">
        <v>329</v>
      </c>
      <c r="I40" s="2">
        <v>610002</v>
      </c>
      <c r="J40" t="s">
        <v>334</v>
      </c>
      <c r="K40" t="s">
        <v>100</v>
      </c>
      <c r="L40" t="s">
        <v>101</v>
      </c>
    </row>
    <row r="41" spans="1:12">
      <c r="A41" t="s">
        <v>236</v>
      </c>
      <c r="B41" t="s">
        <v>320</v>
      </c>
      <c r="C41" t="s">
        <v>324</v>
      </c>
      <c r="D41" t="s">
        <v>328</v>
      </c>
      <c r="E41" s="2">
        <v>1</v>
      </c>
      <c r="F41" s="2">
        <v>100</v>
      </c>
      <c r="G41" s="2">
        <v>100</v>
      </c>
      <c r="H41" t="s">
        <v>330</v>
      </c>
      <c r="I41" s="2">
        <v>610003</v>
      </c>
      <c r="J41" t="s">
        <v>335</v>
      </c>
      <c r="K41" t="s">
        <v>100</v>
      </c>
      <c r="L41" t="s">
        <v>101</v>
      </c>
    </row>
    <row r="42" spans="1:12">
      <c r="A42" t="s">
        <v>237</v>
      </c>
      <c r="B42" t="s">
        <v>317</v>
      </c>
      <c r="C42" t="s">
        <v>321</v>
      </c>
      <c r="D42" t="s">
        <v>325</v>
      </c>
      <c r="E42" s="2">
        <v>2</v>
      </c>
      <c r="F42" s="2">
        <v>200</v>
      </c>
      <c r="G42" s="2">
        <v>400</v>
      </c>
      <c r="H42" t="s">
        <v>329</v>
      </c>
      <c r="I42" s="2">
        <v>610002</v>
      </c>
      <c r="J42" t="s">
        <v>332</v>
      </c>
      <c r="K42" t="s">
        <v>100</v>
      </c>
      <c r="L42" t="s">
        <v>101</v>
      </c>
    </row>
    <row r="43" spans="1:12">
      <c r="A43" t="s">
        <v>238</v>
      </c>
      <c r="B43" t="s">
        <v>318</v>
      </c>
      <c r="C43" t="s">
        <v>322</v>
      </c>
      <c r="D43" t="s">
        <v>326</v>
      </c>
      <c r="E43" s="2">
        <v>3</v>
      </c>
      <c r="F43" s="2">
        <v>300</v>
      </c>
      <c r="G43" s="2">
        <v>900</v>
      </c>
      <c r="H43" t="s">
        <v>330</v>
      </c>
      <c r="I43" s="2">
        <v>610003</v>
      </c>
      <c r="J43" t="s">
        <v>333</v>
      </c>
      <c r="K43" t="s">
        <v>100</v>
      </c>
      <c r="L43" t="s">
        <v>101</v>
      </c>
    </row>
    <row r="44" spans="1:12">
      <c r="A44" t="s">
        <v>239</v>
      </c>
      <c r="B44" t="s">
        <v>319</v>
      </c>
      <c r="C44" t="s">
        <v>323</v>
      </c>
      <c r="D44" t="s">
        <v>327</v>
      </c>
      <c r="E44" s="2">
        <v>4</v>
      </c>
      <c r="F44" s="2">
        <v>400</v>
      </c>
      <c r="G44" s="2">
        <v>1600</v>
      </c>
      <c r="H44" t="s">
        <v>331</v>
      </c>
      <c r="I44" s="2">
        <v>610001</v>
      </c>
      <c r="J44" t="s">
        <v>334</v>
      </c>
      <c r="K44" t="s">
        <v>100</v>
      </c>
      <c r="L44" t="s">
        <v>101</v>
      </c>
    </row>
    <row r="45" spans="1:12">
      <c r="A45" t="s">
        <v>240</v>
      </c>
      <c r="B45" t="s">
        <v>320</v>
      </c>
      <c r="C45" t="s">
        <v>324</v>
      </c>
      <c r="D45" t="s">
        <v>328</v>
      </c>
      <c r="E45" s="2">
        <v>5</v>
      </c>
      <c r="F45" s="2">
        <v>100</v>
      </c>
      <c r="G45" s="2">
        <v>500</v>
      </c>
      <c r="H45" t="s">
        <v>329</v>
      </c>
      <c r="I45" s="2">
        <v>610002</v>
      </c>
      <c r="J45" t="s">
        <v>335</v>
      </c>
      <c r="K45" t="s">
        <v>100</v>
      </c>
      <c r="L45" t="s">
        <v>101</v>
      </c>
    </row>
    <row r="46" spans="1:12">
      <c r="A46" t="s">
        <v>241</v>
      </c>
      <c r="B46" t="s">
        <v>317</v>
      </c>
      <c r="C46" t="s">
        <v>321</v>
      </c>
      <c r="D46" t="s">
        <v>325</v>
      </c>
      <c r="E46" s="2">
        <v>1</v>
      </c>
      <c r="F46" s="2">
        <v>200</v>
      </c>
      <c r="G46" s="2">
        <v>200</v>
      </c>
      <c r="H46" t="s">
        <v>330</v>
      </c>
      <c r="I46" s="2">
        <v>610003</v>
      </c>
      <c r="J46" t="s">
        <v>332</v>
      </c>
      <c r="K46" t="s">
        <v>100</v>
      </c>
      <c r="L46" t="s">
        <v>101</v>
      </c>
    </row>
    <row r="47" spans="1:12">
      <c r="A47" t="s">
        <v>242</v>
      </c>
      <c r="B47" t="s">
        <v>318</v>
      </c>
      <c r="C47" t="s">
        <v>322</v>
      </c>
      <c r="D47" t="s">
        <v>326</v>
      </c>
      <c r="E47" s="2">
        <v>2</v>
      </c>
      <c r="F47" s="2">
        <v>300</v>
      </c>
      <c r="G47" s="2">
        <v>600</v>
      </c>
      <c r="H47" t="s">
        <v>331</v>
      </c>
      <c r="I47" s="2">
        <v>610001</v>
      </c>
      <c r="J47" t="s">
        <v>333</v>
      </c>
      <c r="K47" t="s">
        <v>100</v>
      </c>
      <c r="L47" t="s">
        <v>101</v>
      </c>
    </row>
    <row r="48" spans="1:12">
      <c r="A48" t="s">
        <v>243</v>
      </c>
      <c r="B48" t="s">
        <v>319</v>
      </c>
      <c r="C48" t="s">
        <v>323</v>
      </c>
      <c r="D48" t="s">
        <v>327</v>
      </c>
      <c r="E48" s="2">
        <v>3</v>
      </c>
      <c r="F48" s="2">
        <v>400</v>
      </c>
      <c r="G48" s="2">
        <v>1200</v>
      </c>
      <c r="H48" t="s">
        <v>329</v>
      </c>
      <c r="I48" s="2">
        <v>610002</v>
      </c>
      <c r="J48" t="s">
        <v>334</v>
      </c>
      <c r="K48" t="s">
        <v>100</v>
      </c>
      <c r="L48" t="s">
        <v>101</v>
      </c>
    </row>
    <row r="49" spans="1:12">
      <c r="A49" t="s">
        <v>244</v>
      </c>
      <c r="B49" t="s">
        <v>320</v>
      </c>
      <c r="C49" t="s">
        <v>324</v>
      </c>
      <c r="D49" t="s">
        <v>328</v>
      </c>
      <c r="E49" s="2">
        <v>4</v>
      </c>
      <c r="F49" s="2">
        <v>100</v>
      </c>
      <c r="G49" s="2">
        <v>400</v>
      </c>
      <c r="H49" t="s">
        <v>330</v>
      </c>
      <c r="I49" s="2">
        <v>610003</v>
      </c>
      <c r="J49" t="s">
        <v>335</v>
      </c>
      <c r="K49" t="s">
        <v>100</v>
      </c>
      <c r="L49" t="s">
        <v>101</v>
      </c>
    </row>
    <row r="50" spans="1:12">
      <c r="A50" t="s">
        <v>245</v>
      </c>
      <c r="B50" t="s">
        <v>317</v>
      </c>
      <c r="C50" t="s">
        <v>321</v>
      </c>
      <c r="D50" t="s">
        <v>325</v>
      </c>
      <c r="E50" s="2">
        <v>5</v>
      </c>
      <c r="F50" s="2">
        <v>200</v>
      </c>
      <c r="G50" s="2">
        <v>1000</v>
      </c>
      <c r="H50" t="s">
        <v>331</v>
      </c>
      <c r="I50" s="2">
        <v>610001</v>
      </c>
      <c r="J50" t="s">
        <v>332</v>
      </c>
      <c r="K50" t="s">
        <v>100</v>
      </c>
      <c r="L50" t="s">
        <v>101</v>
      </c>
    </row>
    <row r="51" spans="1:12">
      <c r="A51" t="s">
        <v>246</v>
      </c>
      <c r="B51" t="s">
        <v>318</v>
      </c>
      <c r="C51" t="s">
        <v>322</v>
      </c>
      <c r="D51" t="s">
        <v>326</v>
      </c>
      <c r="E51" s="2">
        <v>1</v>
      </c>
      <c r="F51" s="2">
        <v>300</v>
      </c>
      <c r="G51" s="2">
        <v>300</v>
      </c>
      <c r="H51" t="s">
        <v>329</v>
      </c>
      <c r="I51" s="2">
        <v>610002</v>
      </c>
      <c r="J51" t="s">
        <v>333</v>
      </c>
      <c r="K51" t="s">
        <v>100</v>
      </c>
      <c r="L51" t="s">
        <v>101</v>
      </c>
    </row>
    <row r="52" spans="1:12">
      <c r="A52" t="s">
        <v>247</v>
      </c>
      <c r="B52" t="s">
        <v>319</v>
      </c>
      <c r="C52" t="s">
        <v>323</v>
      </c>
      <c r="D52" t="s">
        <v>327</v>
      </c>
      <c r="E52" s="2">
        <v>2</v>
      </c>
      <c r="F52" s="2">
        <v>400</v>
      </c>
      <c r="G52" s="2">
        <v>800</v>
      </c>
      <c r="H52" t="s">
        <v>330</v>
      </c>
      <c r="I52" s="2">
        <v>610003</v>
      </c>
      <c r="J52" t="s">
        <v>334</v>
      </c>
      <c r="K52" t="s">
        <v>100</v>
      </c>
      <c r="L52" t="s">
        <v>101</v>
      </c>
    </row>
    <row r="53" spans="1:12">
      <c r="A53" t="s">
        <v>248</v>
      </c>
      <c r="B53" t="s">
        <v>320</v>
      </c>
      <c r="C53" t="s">
        <v>324</v>
      </c>
      <c r="D53" t="s">
        <v>328</v>
      </c>
      <c r="E53" s="2">
        <v>3</v>
      </c>
      <c r="F53" s="2">
        <v>100</v>
      </c>
      <c r="G53" s="2">
        <v>300</v>
      </c>
      <c r="H53" t="s">
        <v>331</v>
      </c>
      <c r="I53" s="2">
        <v>610001</v>
      </c>
      <c r="J53" t="s">
        <v>335</v>
      </c>
      <c r="K53" t="s">
        <v>100</v>
      </c>
      <c r="L53" t="s">
        <v>101</v>
      </c>
    </row>
    <row r="54" spans="1:12">
      <c r="A54" t="s">
        <v>249</v>
      </c>
      <c r="B54" t="s">
        <v>317</v>
      </c>
      <c r="C54" t="s">
        <v>321</v>
      </c>
      <c r="D54" t="s">
        <v>325</v>
      </c>
      <c r="E54" s="2">
        <v>4</v>
      </c>
      <c r="F54" s="2">
        <v>200</v>
      </c>
      <c r="G54" s="2">
        <v>800</v>
      </c>
      <c r="H54" t="s">
        <v>329</v>
      </c>
      <c r="I54" s="2">
        <v>610002</v>
      </c>
      <c r="J54" t="s">
        <v>332</v>
      </c>
      <c r="K54" t="s">
        <v>100</v>
      </c>
      <c r="L54" t="s">
        <v>101</v>
      </c>
    </row>
    <row r="55" spans="1:12">
      <c r="A55" t="s">
        <v>250</v>
      </c>
      <c r="B55" t="s">
        <v>318</v>
      </c>
      <c r="C55" t="s">
        <v>322</v>
      </c>
      <c r="D55" t="s">
        <v>326</v>
      </c>
      <c r="E55" s="2">
        <v>5</v>
      </c>
      <c r="F55" s="2">
        <v>300</v>
      </c>
      <c r="G55" s="2">
        <v>1500</v>
      </c>
      <c r="H55" t="s">
        <v>330</v>
      </c>
      <c r="I55" s="2">
        <v>610003</v>
      </c>
      <c r="J55" t="s">
        <v>333</v>
      </c>
      <c r="K55" t="s">
        <v>100</v>
      </c>
      <c r="L55" t="s">
        <v>101</v>
      </c>
    </row>
    <row r="56" spans="1:12">
      <c r="A56" t="s">
        <v>251</v>
      </c>
      <c r="B56" t="s">
        <v>319</v>
      </c>
      <c r="C56" t="s">
        <v>323</v>
      </c>
      <c r="D56" t="s">
        <v>327</v>
      </c>
      <c r="E56" s="2">
        <v>1</v>
      </c>
      <c r="F56" s="2">
        <v>400</v>
      </c>
      <c r="G56" s="2">
        <v>400</v>
      </c>
      <c r="H56" t="s">
        <v>331</v>
      </c>
      <c r="I56" s="2">
        <v>610001</v>
      </c>
      <c r="J56" t="s">
        <v>334</v>
      </c>
      <c r="K56" t="s">
        <v>100</v>
      </c>
      <c r="L56" t="s">
        <v>101</v>
      </c>
    </row>
    <row r="57" spans="1:12">
      <c r="A57" t="s">
        <v>252</v>
      </c>
      <c r="B57" t="s">
        <v>320</v>
      </c>
      <c r="C57" t="s">
        <v>324</v>
      </c>
      <c r="D57" t="s">
        <v>328</v>
      </c>
      <c r="E57" s="2">
        <v>2</v>
      </c>
      <c r="F57" s="2">
        <v>100</v>
      </c>
      <c r="G57" s="2">
        <v>200</v>
      </c>
      <c r="H57" t="s">
        <v>329</v>
      </c>
      <c r="I57" s="2">
        <v>610002</v>
      </c>
      <c r="J57" t="s">
        <v>335</v>
      </c>
      <c r="K57" t="s">
        <v>100</v>
      </c>
      <c r="L57" t="s">
        <v>101</v>
      </c>
    </row>
    <row r="58" spans="1:12">
      <c r="A58" t="s">
        <v>253</v>
      </c>
      <c r="B58" t="s">
        <v>317</v>
      </c>
      <c r="C58" t="s">
        <v>321</v>
      </c>
      <c r="D58" t="s">
        <v>325</v>
      </c>
      <c r="E58" s="2">
        <v>3</v>
      </c>
      <c r="F58" s="2">
        <v>200</v>
      </c>
      <c r="G58" s="2">
        <v>600</v>
      </c>
      <c r="H58" t="s">
        <v>330</v>
      </c>
      <c r="I58" s="2">
        <v>610003</v>
      </c>
      <c r="J58" t="s">
        <v>332</v>
      </c>
      <c r="K58" t="s">
        <v>100</v>
      </c>
      <c r="L58" t="s">
        <v>101</v>
      </c>
    </row>
    <row r="59" spans="1:12">
      <c r="A59" t="s">
        <v>254</v>
      </c>
      <c r="B59" t="s">
        <v>318</v>
      </c>
      <c r="C59" t="s">
        <v>322</v>
      </c>
      <c r="D59" t="s">
        <v>326</v>
      </c>
      <c r="E59" s="2">
        <v>4</v>
      </c>
      <c r="F59" s="2">
        <v>300</v>
      </c>
      <c r="G59" s="2">
        <v>1200</v>
      </c>
      <c r="H59" t="s">
        <v>331</v>
      </c>
      <c r="I59" s="2">
        <v>610001</v>
      </c>
      <c r="J59" t="s">
        <v>333</v>
      </c>
      <c r="K59" t="s">
        <v>100</v>
      </c>
      <c r="L59" t="s">
        <v>101</v>
      </c>
    </row>
    <row r="60" spans="1:12">
      <c r="A60" t="s">
        <v>255</v>
      </c>
      <c r="B60" t="s">
        <v>319</v>
      </c>
      <c r="C60" t="s">
        <v>323</v>
      </c>
      <c r="D60" t="s">
        <v>327</v>
      </c>
      <c r="E60" s="2">
        <v>5</v>
      </c>
      <c r="F60" s="2">
        <v>400</v>
      </c>
      <c r="G60" s="2">
        <v>2000</v>
      </c>
      <c r="H60" t="s">
        <v>329</v>
      </c>
      <c r="I60" s="2">
        <v>610002</v>
      </c>
      <c r="J60" t="s">
        <v>334</v>
      </c>
      <c r="K60" t="s">
        <v>100</v>
      </c>
      <c r="L60" t="s">
        <v>101</v>
      </c>
    </row>
    <row r="61" spans="1:12">
      <c r="A61" t="s">
        <v>256</v>
      </c>
      <c r="B61" t="s">
        <v>320</v>
      </c>
      <c r="C61" t="s">
        <v>324</v>
      </c>
      <c r="D61" t="s">
        <v>328</v>
      </c>
      <c r="E61" s="2">
        <v>1</v>
      </c>
      <c r="F61" s="2">
        <v>100</v>
      </c>
      <c r="G61" s="2">
        <v>100</v>
      </c>
      <c r="H61" t="s">
        <v>330</v>
      </c>
      <c r="I61" s="2">
        <v>610003</v>
      </c>
      <c r="J61" t="s">
        <v>335</v>
      </c>
      <c r="K61" t="s">
        <v>100</v>
      </c>
      <c r="L61" t="s">
        <v>101</v>
      </c>
    </row>
    <row r="62" spans="1:12">
      <c r="A62" t="s">
        <v>257</v>
      </c>
      <c r="B62" t="s">
        <v>317</v>
      </c>
      <c r="C62" t="s">
        <v>321</v>
      </c>
      <c r="D62" t="s">
        <v>325</v>
      </c>
      <c r="E62" s="2">
        <v>2</v>
      </c>
      <c r="F62" s="2">
        <v>200</v>
      </c>
      <c r="G62" s="2">
        <v>400</v>
      </c>
      <c r="H62" t="s">
        <v>329</v>
      </c>
      <c r="I62" s="2">
        <v>610002</v>
      </c>
      <c r="J62" t="s">
        <v>332</v>
      </c>
      <c r="K62" t="s">
        <v>100</v>
      </c>
      <c r="L62" t="s">
        <v>101</v>
      </c>
    </row>
    <row r="63" spans="1:12">
      <c r="A63" t="s">
        <v>258</v>
      </c>
      <c r="B63" t="s">
        <v>318</v>
      </c>
      <c r="C63" t="s">
        <v>322</v>
      </c>
      <c r="D63" t="s">
        <v>326</v>
      </c>
      <c r="E63" s="2">
        <v>3</v>
      </c>
      <c r="F63" s="2">
        <v>300</v>
      </c>
      <c r="G63" s="2">
        <v>900</v>
      </c>
      <c r="H63" t="s">
        <v>330</v>
      </c>
      <c r="I63" s="2">
        <v>610003</v>
      </c>
      <c r="J63" t="s">
        <v>333</v>
      </c>
      <c r="K63" t="s">
        <v>100</v>
      </c>
      <c r="L63" t="s">
        <v>101</v>
      </c>
    </row>
    <row r="64" spans="1:12">
      <c r="A64" t="s">
        <v>259</v>
      </c>
      <c r="B64" t="s">
        <v>319</v>
      </c>
      <c r="C64" t="s">
        <v>323</v>
      </c>
      <c r="D64" t="s">
        <v>327</v>
      </c>
      <c r="E64" s="2">
        <v>4</v>
      </c>
      <c r="F64" s="2">
        <v>400</v>
      </c>
      <c r="G64" s="2">
        <v>1600</v>
      </c>
      <c r="H64" t="s">
        <v>331</v>
      </c>
      <c r="I64" s="2">
        <v>610001</v>
      </c>
      <c r="J64" t="s">
        <v>334</v>
      </c>
      <c r="K64" t="s">
        <v>100</v>
      </c>
      <c r="L64" t="s">
        <v>101</v>
      </c>
    </row>
    <row r="65" spans="1:12">
      <c r="A65" t="s">
        <v>260</v>
      </c>
      <c r="B65" t="s">
        <v>320</v>
      </c>
      <c r="C65" t="s">
        <v>324</v>
      </c>
      <c r="D65" t="s">
        <v>328</v>
      </c>
      <c r="E65" s="2">
        <v>5</v>
      </c>
      <c r="F65" s="2">
        <v>100</v>
      </c>
      <c r="G65" s="2">
        <v>500</v>
      </c>
      <c r="H65" t="s">
        <v>329</v>
      </c>
      <c r="I65" s="2">
        <v>610002</v>
      </c>
      <c r="J65" t="s">
        <v>335</v>
      </c>
      <c r="K65" t="s">
        <v>100</v>
      </c>
      <c r="L65" t="s">
        <v>101</v>
      </c>
    </row>
    <row r="66" spans="1:12">
      <c r="A66" t="s">
        <v>261</v>
      </c>
      <c r="B66" t="s">
        <v>317</v>
      </c>
      <c r="C66" t="s">
        <v>321</v>
      </c>
      <c r="D66" t="s">
        <v>325</v>
      </c>
      <c r="E66" s="2">
        <v>1</v>
      </c>
      <c r="F66" s="2">
        <v>200</v>
      </c>
      <c r="G66" s="2">
        <v>200</v>
      </c>
      <c r="H66" t="s">
        <v>330</v>
      </c>
      <c r="I66" s="2">
        <v>610003</v>
      </c>
      <c r="J66" t="s">
        <v>332</v>
      </c>
      <c r="K66" t="s">
        <v>100</v>
      </c>
      <c r="L66" t="s">
        <v>101</v>
      </c>
    </row>
    <row r="67" spans="1:12">
      <c r="A67" t="s">
        <v>262</v>
      </c>
      <c r="B67" t="s">
        <v>318</v>
      </c>
      <c r="C67" t="s">
        <v>322</v>
      </c>
      <c r="D67" t="s">
        <v>326</v>
      </c>
      <c r="E67" s="2">
        <v>2</v>
      </c>
      <c r="F67" s="2">
        <v>300</v>
      </c>
      <c r="G67" s="2">
        <v>600</v>
      </c>
      <c r="H67" t="s">
        <v>331</v>
      </c>
      <c r="I67" s="2">
        <v>610001</v>
      </c>
      <c r="J67" t="s">
        <v>333</v>
      </c>
      <c r="K67" t="s">
        <v>100</v>
      </c>
      <c r="L67" t="s">
        <v>101</v>
      </c>
    </row>
    <row r="68" spans="1:12">
      <c r="A68" t="s">
        <v>263</v>
      </c>
      <c r="B68" t="s">
        <v>319</v>
      </c>
      <c r="C68" t="s">
        <v>323</v>
      </c>
      <c r="D68" t="s">
        <v>327</v>
      </c>
      <c r="E68" s="2">
        <v>3</v>
      </c>
      <c r="F68" s="2">
        <v>400</v>
      </c>
      <c r="G68" s="2">
        <v>1200</v>
      </c>
      <c r="H68" t="s">
        <v>329</v>
      </c>
      <c r="I68" s="2">
        <v>610002</v>
      </c>
      <c r="J68" t="s">
        <v>334</v>
      </c>
      <c r="K68" t="s">
        <v>100</v>
      </c>
      <c r="L68" t="s">
        <v>101</v>
      </c>
    </row>
    <row r="69" spans="1:12">
      <c r="A69" t="s">
        <v>264</v>
      </c>
      <c r="B69" t="s">
        <v>320</v>
      </c>
      <c r="C69" t="s">
        <v>324</v>
      </c>
      <c r="D69" t="s">
        <v>328</v>
      </c>
      <c r="E69" s="2">
        <v>4</v>
      </c>
      <c r="F69" s="2">
        <v>100</v>
      </c>
      <c r="G69" s="2">
        <v>400</v>
      </c>
      <c r="H69" t="s">
        <v>330</v>
      </c>
      <c r="I69" s="2">
        <v>610003</v>
      </c>
      <c r="J69" t="s">
        <v>335</v>
      </c>
      <c r="K69" t="s">
        <v>100</v>
      </c>
      <c r="L69" t="s">
        <v>101</v>
      </c>
    </row>
    <row r="70" spans="1:12">
      <c r="A70" t="s">
        <v>265</v>
      </c>
      <c r="B70" t="s">
        <v>317</v>
      </c>
      <c r="C70" t="s">
        <v>321</v>
      </c>
      <c r="D70" t="s">
        <v>325</v>
      </c>
      <c r="E70" s="2">
        <v>5</v>
      </c>
      <c r="F70" s="2">
        <v>200</v>
      </c>
      <c r="G70" s="2">
        <v>1000</v>
      </c>
      <c r="H70" t="s">
        <v>331</v>
      </c>
      <c r="I70" s="2">
        <v>610001</v>
      </c>
      <c r="J70" t="s">
        <v>332</v>
      </c>
      <c r="K70" t="s">
        <v>100</v>
      </c>
      <c r="L70" t="s">
        <v>101</v>
      </c>
    </row>
    <row r="71" spans="1:12">
      <c r="A71" t="s">
        <v>266</v>
      </c>
      <c r="B71" t="s">
        <v>318</v>
      </c>
      <c r="C71" t="s">
        <v>322</v>
      </c>
      <c r="D71" t="s">
        <v>326</v>
      </c>
      <c r="E71" s="2">
        <v>1</v>
      </c>
      <c r="F71" s="2">
        <v>300</v>
      </c>
      <c r="G71" s="2">
        <v>300</v>
      </c>
      <c r="H71" t="s">
        <v>329</v>
      </c>
      <c r="I71" s="2">
        <v>610002</v>
      </c>
      <c r="J71" t="s">
        <v>333</v>
      </c>
      <c r="K71" t="s">
        <v>100</v>
      </c>
      <c r="L71" t="s">
        <v>101</v>
      </c>
    </row>
    <row r="72" spans="1:12">
      <c r="A72" t="s">
        <v>267</v>
      </c>
      <c r="B72" t="s">
        <v>319</v>
      </c>
      <c r="C72" t="s">
        <v>323</v>
      </c>
      <c r="D72" t="s">
        <v>327</v>
      </c>
      <c r="E72" s="2">
        <v>2</v>
      </c>
      <c r="F72" s="2">
        <v>400</v>
      </c>
      <c r="G72" s="2">
        <v>800</v>
      </c>
      <c r="H72" t="s">
        <v>330</v>
      </c>
      <c r="I72" s="2">
        <v>610003</v>
      </c>
      <c r="J72" t="s">
        <v>334</v>
      </c>
      <c r="K72" t="s">
        <v>100</v>
      </c>
      <c r="L72" t="s">
        <v>101</v>
      </c>
    </row>
    <row r="73" spans="1:12">
      <c r="A73" t="s">
        <v>268</v>
      </c>
      <c r="B73" t="s">
        <v>320</v>
      </c>
      <c r="C73" t="s">
        <v>324</v>
      </c>
      <c r="D73" t="s">
        <v>328</v>
      </c>
      <c r="E73" s="2">
        <v>3</v>
      </c>
      <c r="F73" s="2">
        <v>100</v>
      </c>
      <c r="G73" s="2">
        <v>300</v>
      </c>
      <c r="H73" t="s">
        <v>331</v>
      </c>
      <c r="I73" s="2">
        <v>610001</v>
      </c>
      <c r="J73" t="s">
        <v>335</v>
      </c>
      <c r="K73" t="s">
        <v>100</v>
      </c>
      <c r="L73" t="s">
        <v>101</v>
      </c>
    </row>
    <row r="74" spans="1:12">
      <c r="A74" t="s">
        <v>269</v>
      </c>
      <c r="B74" t="s">
        <v>317</v>
      </c>
      <c r="C74" t="s">
        <v>321</v>
      </c>
      <c r="D74" t="s">
        <v>325</v>
      </c>
      <c r="E74" s="2">
        <v>4</v>
      </c>
      <c r="F74" s="2">
        <v>200</v>
      </c>
      <c r="G74" s="2">
        <v>800</v>
      </c>
      <c r="H74" t="s">
        <v>329</v>
      </c>
      <c r="I74" s="2">
        <v>610002</v>
      </c>
      <c r="J74" t="s">
        <v>332</v>
      </c>
      <c r="K74" t="s">
        <v>100</v>
      </c>
      <c r="L74" t="s">
        <v>101</v>
      </c>
    </row>
    <row r="75" spans="1:12">
      <c r="A75" t="s">
        <v>270</v>
      </c>
      <c r="B75" t="s">
        <v>318</v>
      </c>
      <c r="C75" t="s">
        <v>322</v>
      </c>
      <c r="D75" t="s">
        <v>326</v>
      </c>
      <c r="E75" s="2">
        <v>5</v>
      </c>
      <c r="F75" s="2">
        <v>300</v>
      </c>
      <c r="G75" s="2">
        <v>1500</v>
      </c>
      <c r="H75" t="s">
        <v>330</v>
      </c>
      <c r="I75" s="2">
        <v>610003</v>
      </c>
      <c r="J75" t="s">
        <v>333</v>
      </c>
      <c r="K75" t="s">
        <v>100</v>
      </c>
      <c r="L75" t="s">
        <v>101</v>
      </c>
    </row>
    <row r="76" spans="1:12">
      <c r="A76" t="s">
        <v>271</v>
      </c>
      <c r="B76" t="s">
        <v>319</v>
      </c>
      <c r="C76" t="s">
        <v>323</v>
      </c>
      <c r="D76" t="s">
        <v>327</v>
      </c>
      <c r="E76" s="2">
        <v>1</v>
      </c>
      <c r="F76" s="2">
        <v>400</v>
      </c>
      <c r="G76" s="2">
        <v>400</v>
      </c>
      <c r="H76" t="s">
        <v>331</v>
      </c>
      <c r="I76" s="2">
        <v>610001</v>
      </c>
      <c r="J76" t="s">
        <v>334</v>
      </c>
      <c r="K76" t="s">
        <v>100</v>
      </c>
      <c r="L76" t="s">
        <v>101</v>
      </c>
    </row>
    <row r="77" spans="1:12">
      <c r="A77" t="s">
        <v>272</v>
      </c>
      <c r="B77" t="s">
        <v>320</v>
      </c>
      <c r="C77" t="s">
        <v>324</v>
      </c>
      <c r="D77" t="s">
        <v>328</v>
      </c>
      <c r="E77" s="2">
        <v>2</v>
      </c>
      <c r="F77" s="2">
        <v>100</v>
      </c>
      <c r="G77" s="2">
        <v>200</v>
      </c>
      <c r="H77" t="s">
        <v>329</v>
      </c>
      <c r="I77" s="2">
        <v>610002</v>
      </c>
      <c r="J77" t="s">
        <v>335</v>
      </c>
      <c r="K77" t="s">
        <v>100</v>
      </c>
      <c r="L77" t="s">
        <v>101</v>
      </c>
    </row>
    <row r="78" spans="1:12">
      <c r="A78" t="s">
        <v>273</v>
      </c>
      <c r="B78" t="s">
        <v>317</v>
      </c>
      <c r="C78" t="s">
        <v>321</v>
      </c>
      <c r="D78" t="s">
        <v>325</v>
      </c>
      <c r="E78" s="2">
        <v>3</v>
      </c>
      <c r="F78" s="2">
        <v>200</v>
      </c>
      <c r="G78" s="2">
        <v>600</v>
      </c>
      <c r="H78" t="s">
        <v>330</v>
      </c>
      <c r="I78" s="2">
        <v>610003</v>
      </c>
      <c r="J78" t="s">
        <v>332</v>
      </c>
      <c r="K78" t="s">
        <v>100</v>
      </c>
      <c r="L78" t="s">
        <v>101</v>
      </c>
    </row>
    <row r="79" spans="1:12">
      <c r="A79" t="s">
        <v>274</v>
      </c>
      <c r="B79" t="s">
        <v>318</v>
      </c>
      <c r="C79" t="s">
        <v>322</v>
      </c>
      <c r="D79" t="s">
        <v>326</v>
      </c>
      <c r="E79" s="2">
        <v>4</v>
      </c>
      <c r="F79" s="2">
        <v>300</v>
      </c>
      <c r="G79" s="2">
        <v>1200</v>
      </c>
      <c r="H79" t="s">
        <v>331</v>
      </c>
      <c r="I79" s="2">
        <v>610001</v>
      </c>
      <c r="J79" t="s">
        <v>333</v>
      </c>
      <c r="K79" t="s">
        <v>100</v>
      </c>
      <c r="L79" t="s">
        <v>101</v>
      </c>
    </row>
    <row r="80" spans="1:12">
      <c r="A80" t="s">
        <v>275</v>
      </c>
      <c r="B80" t="s">
        <v>319</v>
      </c>
      <c r="C80" t="s">
        <v>323</v>
      </c>
      <c r="D80" t="s">
        <v>327</v>
      </c>
      <c r="E80" s="2">
        <v>5</v>
      </c>
      <c r="F80" s="2">
        <v>400</v>
      </c>
      <c r="G80" s="2">
        <v>2000</v>
      </c>
      <c r="H80" t="s">
        <v>329</v>
      </c>
      <c r="I80" s="2">
        <v>610002</v>
      </c>
      <c r="J80" t="s">
        <v>334</v>
      </c>
      <c r="K80" t="s">
        <v>100</v>
      </c>
      <c r="L80" t="s">
        <v>101</v>
      </c>
    </row>
    <row r="81" spans="1:12">
      <c r="A81" t="s">
        <v>276</v>
      </c>
      <c r="B81" t="s">
        <v>320</v>
      </c>
      <c r="C81" t="s">
        <v>324</v>
      </c>
      <c r="D81" t="s">
        <v>328</v>
      </c>
      <c r="E81" s="2">
        <v>1</v>
      </c>
      <c r="F81" s="2">
        <v>100</v>
      </c>
      <c r="G81" s="2">
        <v>100</v>
      </c>
      <c r="H81" t="s">
        <v>330</v>
      </c>
      <c r="I81" s="2">
        <v>610003</v>
      </c>
      <c r="J81" t="s">
        <v>335</v>
      </c>
      <c r="K81" t="s">
        <v>100</v>
      </c>
      <c r="L81" t="s">
        <v>101</v>
      </c>
    </row>
    <row r="82" spans="1:12">
      <c r="A82" t="s">
        <v>277</v>
      </c>
      <c r="B82" t="s">
        <v>317</v>
      </c>
      <c r="C82" t="s">
        <v>321</v>
      </c>
      <c r="D82" t="s">
        <v>325</v>
      </c>
      <c r="E82" s="2">
        <v>2</v>
      </c>
      <c r="F82" s="2">
        <v>200</v>
      </c>
      <c r="G82" s="2">
        <v>400</v>
      </c>
      <c r="H82" t="s">
        <v>329</v>
      </c>
      <c r="I82" s="2">
        <v>610002</v>
      </c>
      <c r="J82" t="s">
        <v>332</v>
      </c>
      <c r="K82" t="s">
        <v>100</v>
      </c>
      <c r="L82" t="s">
        <v>101</v>
      </c>
    </row>
    <row r="83" spans="1:12">
      <c r="A83" t="s">
        <v>278</v>
      </c>
      <c r="B83" t="s">
        <v>318</v>
      </c>
      <c r="C83" t="s">
        <v>322</v>
      </c>
      <c r="D83" t="s">
        <v>326</v>
      </c>
      <c r="E83" s="2">
        <v>3</v>
      </c>
      <c r="F83" s="2">
        <v>300</v>
      </c>
      <c r="G83" s="2">
        <v>900</v>
      </c>
      <c r="H83" t="s">
        <v>330</v>
      </c>
      <c r="I83" s="2">
        <v>610003</v>
      </c>
      <c r="J83" t="s">
        <v>333</v>
      </c>
      <c r="K83" t="s">
        <v>100</v>
      </c>
      <c r="L83" t="s">
        <v>101</v>
      </c>
    </row>
    <row r="84" spans="1:12">
      <c r="A84" t="s">
        <v>279</v>
      </c>
      <c r="B84" t="s">
        <v>319</v>
      </c>
      <c r="C84" t="s">
        <v>323</v>
      </c>
      <c r="D84" t="s">
        <v>327</v>
      </c>
      <c r="E84" s="2">
        <v>4</v>
      </c>
      <c r="F84" s="2">
        <v>400</v>
      </c>
      <c r="G84" s="2">
        <v>1600</v>
      </c>
      <c r="H84" t="s">
        <v>331</v>
      </c>
      <c r="I84" s="2">
        <v>610001</v>
      </c>
      <c r="J84" t="s">
        <v>334</v>
      </c>
      <c r="K84" t="s">
        <v>100</v>
      </c>
      <c r="L84" t="s">
        <v>101</v>
      </c>
    </row>
    <row r="85" spans="1:12">
      <c r="A85" t="s">
        <v>280</v>
      </c>
      <c r="B85" t="s">
        <v>320</v>
      </c>
      <c r="C85" t="s">
        <v>324</v>
      </c>
      <c r="D85" t="s">
        <v>328</v>
      </c>
      <c r="E85" s="2">
        <v>5</v>
      </c>
      <c r="F85" s="2">
        <v>100</v>
      </c>
      <c r="G85" s="2">
        <v>500</v>
      </c>
      <c r="H85" t="s">
        <v>329</v>
      </c>
      <c r="I85" s="2">
        <v>610002</v>
      </c>
      <c r="J85" t="s">
        <v>335</v>
      </c>
      <c r="K85" t="s">
        <v>100</v>
      </c>
      <c r="L85" t="s">
        <v>101</v>
      </c>
    </row>
    <row r="86" spans="1:12">
      <c r="A86" t="s">
        <v>281</v>
      </c>
      <c r="B86" t="s">
        <v>317</v>
      </c>
      <c r="C86" t="s">
        <v>321</v>
      </c>
      <c r="D86" t="s">
        <v>325</v>
      </c>
      <c r="E86" s="2">
        <v>1</v>
      </c>
      <c r="F86" s="2">
        <v>200</v>
      </c>
      <c r="G86" s="2">
        <v>200</v>
      </c>
      <c r="H86" t="s">
        <v>330</v>
      </c>
      <c r="I86" s="2">
        <v>610003</v>
      </c>
      <c r="J86" t="s">
        <v>332</v>
      </c>
      <c r="K86" t="s">
        <v>100</v>
      </c>
      <c r="L86" t="s">
        <v>101</v>
      </c>
    </row>
    <row r="87" spans="1:12">
      <c r="A87" t="s">
        <v>282</v>
      </c>
      <c r="B87" t="s">
        <v>318</v>
      </c>
      <c r="C87" t="s">
        <v>322</v>
      </c>
      <c r="D87" t="s">
        <v>326</v>
      </c>
      <c r="E87" s="2">
        <v>2</v>
      </c>
      <c r="F87" s="2">
        <v>300</v>
      </c>
      <c r="G87" s="2">
        <v>600</v>
      </c>
      <c r="H87" t="s">
        <v>331</v>
      </c>
      <c r="I87" s="2">
        <v>610001</v>
      </c>
      <c r="J87" t="s">
        <v>333</v>
      </c>
      <c r="K87" t="s">
        <v>100</v>
      </c>
      <c r="L87" t="s">
        <v>101</v>
      </c>
    </row>
    <row r="88" spans="1:12">
      <c r="A88" t="s">
        <v>283</v>
      </c>
      <c r="B88" t="s">
        <v>319</v>
      </c>
      <c r="C88" t="s">
        <v>323</v>
      </c>
      <c r="D88" t="s">
        <v>327</v>
      </c>
      <c r="E88" s="2">
        <v>3</v>
      </c>
      <c r="F88" s="2">
        <v>400</v>
      </c>
      <c r="G88" s="2">
        <v>1200</v>
      </c>
      <c r="H88" t="s">
        <v>329</v>
      </c>
      <c r="I88" s="2">
        <v>610002</v>
      </c>
      <c r="J88" t="s">
        <v>334</v>
      </c>
      <c r="K88" t="s">
        <v>100</v>
      </c>
      <c r="L88" t="s">
        <v>101</v>
      </c>
    </row>
    <row r="89" spans="1:12">
      <c r="A89" t="s">
        <v>284</v>
      </c>
      <c r="B89" t="s">
        <v>320</v>
      </c>
      <c r="C89" t="s">
        <v>324</v>
      </c>
      <c r="D89" t="s">
        <v>328</v>
      </c>
      <c r="E89" s="2">
        <v>4</v>
      </c>
      <c r="F89" s="2">
        <v>100</v>
      </c>
      <c r="G89" s="2">
        <v>400</v>
      </c>
      <c r="H89" t="s">
        <v>330</v>
      </c>
      <c r="I89" s="2">
        <v>610003</v>
      </c>
      <c r="J89" t="s">
        <v>335</v>
      </c>
      <c r="K89" t="s">
        <v>100</v>
      </c>
      <c r="L89" t="s">
        <v>101</v>
      </c>
    </row>
    <row r="90" spans="1:12">
      <c r="A90" t="s">
        <v>285</v>
      </c>
      <c r="B90" t="s">
        <v>317</v>
      </c>
      <c r="C90" t="s">
        <v>321</v>
      </c>
      <c r="D90" t="s">
        <v>325</v>
      </c>
      <c r="E90" s="2">
        <v>5</v>
      </c>
      <c r="F90" s="2">
        <v>200</v>
      </c>
      <c r="G90" s="2">
        <v>1000</v>
      </c>
      <c r="H90" t="s">
        <v>331</v>
      </c>
      <c r="I90" s="2">
        <v>610001</v>
      </c>
      <c r="J90" t="s">
        <v>332</v>
      </c>
      <c r="K90" t="s">
        <v>100</v>
      </c>
      <c r="L90" t="s">
        <v>101</v>
      </c>
    </row>
    <row r="91" spans="1:12">
      <c r="A91" t="s">
        <v>286</v>
      </c>
      <c r="B91" t="s">
        <v>318</v>
      </c>
      <c r="C91" t="s">
        <v>322</v>
      </c>
      <c r="D91" t="s">
        <v>326</v>
      </c>
      <c r="E91" s="2">
        <v>1</v>
      </c>
      <c r="F91" s="2">
        <v>300</v>
      </c>
      <c r="G91" s="2">
        <v>300</v>
      </c>
      <c r="H91" t="s">
        <v>329</v>
      </c>
      <c r="I91" s="2">
        <v>610002</v>
      </c>
      <c r="J91" t="s">
        <v>333</v>
      </c>
      <c r="K91" t="s">
        <v>100</v>
      </c>
      <c r="L91" t="s">
        <v>101</v>
      </c>
    </row>
    <row r="92" spans="1:12">
      <c r="A92" t="s">
        <v>287</v>
      </c>
      <c r="B92" t="s">
        <v>319</v>
      </c>
      <c r="C92" t="s">
        <v>323</v>
      </c>
      <c r="D92" t="s">
        <v>327</v>
      </c>
      <c r="E92" s="2">
        <v>2</v>
      </c>
      <c r="F92" s="2">
        <v>400</v>
      </c>
      <c r="G92" s="2">
        <v>800</v>
      </c>
      <c r="H92" t="s">
        <v>330</v>
      </c>
      <c r="I92" s="2">
        <v>610003</v>
      </c>
      <c r="J92" t="s">
        <v>334</v>
      </c>
      <c r="K92" t="s">
        <v>100</v>
      </c>
      <c r="L92" t="s">
        <v>101</v>
      </c>
    </row>
    <row r="93" spans="1:12">
      <c r="A93" t="s">
        <v>288</v>
      </c>
      <c r="B93" t="s">
        <v>320</v>
      </c>
      <c r="C93" t="s">
        <v>324</v>
      </c>
      <c r="D93" t="s">
        <v>328</v>
      </c>
      <c r="E93" s="2">
        <v>3</v>
      </c>
      <c r="F93" s="2">
        <v>100</v>
      </c>
      <c r="G93" s="2">
        <v>300</v>
      </c>
      <c r="H93" t="s">
        <v>331</v>
      </c>
      <c r="I93" s="2">
        <v>610001</v>
      </c>
      <c r="J93" t="s">
        <v>335</v>
      </c>
      <c r="K93" t="s">
        <v>100</v>
      </c>
      <c r="L93" t="s">
        <v>101</v>
      </c>
    </row>
    <row r="94" spans="1:12">
      <c r="A94" t="s">
        <v>289</v>
      </c>
      <c r="B94" t="s">
        <v>317</v>
      </c>
      <c r="C94" t="s">
        <v>321</v>
      </c>
      <c r="D94" t="s">
        <v>325</v>
      </c>
      <c r="E94" s="2">
        <v>4</v>
      </c>
      <c r="F94" s="2">
        <v>200</v>
      </c>
      <c r="G94" s="2">
        <v>800</v>
      </c>
      <c r="H94" t="s">
        <v>329</v>
      </c>
      <c r="I94" s="2">
        <v>610002</v>
      </c>
      <c r="J94" t="s">
        <v>332</v>
      </c>
      <c r="K94" t="s">
        <v>100</v>
      </c>
      <c r="L94" t="s">
        <v>101</v>
      </c>
    </row>
    <row r="95" spans="1:12">
      <c r="A95" t="s">
        <v>290</v>
      </c>
      <c r="B95" t="s">
        <v>318</v>
      </c>
      <c r="C95" t="s">
        <v>322</v>
      </c>
      <c r="D95" t="s">
        <v>326</v>
      </c>
      <c r="E95" s="2">
        <v>5</v>
      </c>
      <c r="F95" s="2">
        <v>300</v>
      </c>
      <c r="G95" s="2">
        <v>1500</v>
      </c>
      <c r="H95" t="s">
        <v>330</v>
      </c>
      <c r="I95" s="2">
        <v>610003</v>
      </c>
      <c r="J95" t="s">
        <v>333</v>
      </c>
      <c r="K95" t="s">
        <v>100</v>
      </c>
      <c r="L95" t="s">
        <v>101</v>
      </c>
    </row>
    <row r="96" spans="1:12">
      <c r="A96" t="s">
        <v>291</v>
      </c>
      <c r="B96" t="s">
        <v>319</v>
      </c>
      <c r="C96" t="s">
        <v>323</v>
      </c>
      <c r="D96" t="s">
        <v>327</v>
      </c>
      <c r="E96" s="2">
        <v>1</v>
      </c>
      <c r="F96" s="2">
        <v>400</v>
      </c>
      <c r="G96" s="2">
        <v>400</v>
      </c>
      <c r="H96" t="s">
        <v>331</v>
      </c>
      <c r="I96" s="2">
        <v>610001</v>
      </c>
      <c r="J96" t="s">
        <v>334</v>
      </c>
      <c r="K96" t="s">
        <v>100</v>
      </c>
      <c r="L96" t="s">
        <v>101</v>
      </c>
    </row>
    <row r="97" spans="1:12">
      <c r="A97" t="s">
        <v>292</v>
      </c>
      <c r="B97" t="s">
        <v>320</v>
      </c>
      <c r="C97" t="s">
        <v>324</v>
      </c>
      <c r="D97" t="s">
        <v>328</v>
      </c>
      <c r="E97" s="2">
        <v>2</v>
      </c>
      <c r="F97" s="2">
        <v>100</v>
      </c>
      <c r="G97" s="2">
        <v>200</v>
      </c>
      <c r="H97" t="s">
        <v>329</v>
      </c>
      <c r="I97" s="2">
        <v>610002</v>
      </c>
      <c r="J97" t="s">
        <v>335</v>
      </c>
      <c r="K97" t="s">
        <v>100</v>
      </c>
      <c r="L97" t="s">
        <v>101</v>
      </c>
    </row>
    <row r="98" spans="1:12">
      <c r="A98" t="s">
        <v>293</v>
      </c>
      <c r="B98" t="s">
        <v>317</v>
      </c>
      <c r="C98" t="s">
        <v>321</v>
      </c>
      <c r="D98" t="s">
        <v>325</v>
      </c>
      <c r="E98" s="2">
        <v>3</v>
      </c>
      <c r="F98" s="2">
        <v>200</v>
      </c>
      <c r="G98" s="2">
        <v>600</v>
      </c>
      <c r="H98" t="s">
        <v>330</v>
      </c>
      <c r="I98" s="2">
        <v>610003</v>
      </c>
      <c r="J98" t="s">
        <v>332</v>
      </c>
      <c r="K98" t="s">
        <v>100</v>
      </c>
      <c r="L98" t="s">
        <v>101</v>
      </c>
    </row>
    <row r="99" spans="1:12">
      <c r="A99" t="s">
        <v>294</v>
      </c>
      <c r="B99" t="s">
        <v>318</v>
      </c>
      <c r="C99" t="s">
        <v>322</v>
      </c>
      <c r="D99" t="s">
        <v>326</v>
      </c>
      <c r="E99" s="2">
        <v>4</v>
      </c>
      <c r="F99" s="2">
        <v>300</v>
      </c>
      <c r="G99" s="2">
        <v>1200</v>
      </c>
      <c r="H99" t="s">
        <v>331</v>
      </c>
      <c r="I99" s="2">
        <v>610001</v>
      </c>
      <c r="J99" t="s">
        <v>333</v>
      </c>
      <c r="K99" t="s">
        <v>100</v>
      </c>
      <c r="L99" t="s">
        <v>101</v>
      </c>
    </row>
    <row r="100" spans="1:12">
      <c r="A100" t="s">
        <v>295</v>
      </c>
      <c r="B100" t="s">
        <v>319</v>
      </c>
      <c r="C100" t="s">
        <v>323</v>
      </c>
      <c r="D100" t="s">
        <v>327</v>
      </c>
      <c r="E100" s="2">
        <v>5</v>
      </c>
      <c r="F100" s="2">
        <v>400</v>
      </c>
      <c r="G100" s="2">
        <v>2000</v>
      </c>
      <c r="H100" t="s">
        <v>329</v>
      </c>
      <c r="I100" s="2">
        <v>610002</v>
      </c>
      <c r="J100" t="s">
        <v>334</v>
      </c>
      <c r="K100" t="s">
        <v>100</v>
      </c>
      <c r="L100" t="s">
        <v>101</v>
      </c>
    </row>
    <row r="101" spans="1:12">
      <c r="A101" t="s">
        <v>296</v>
      </c>
      <c r="B101" t="s">
        <v>320</v>
      </c>
      <c r="C101" t="s">
        <v>324</v>
      </c>
      <c r="D101" t="s">
        <v>328</v>
      </c>
      <c r="E101" s="2">
        <v>1</v>
      </c>
      <c r="F101" s="2">
        <v>100</v>
      </c>
      <c r="G101" s="2">
        <v>100</v>
      </c>
      <c r="H101" t="s">
        <v>330</v>
      </c>
      <c r="I101" s="2">
        <v>610003</v>
      </c>
      <c r="J101" t="s">
        <v>335</v>
      </c>
      <c r="K101" t="s">
        <v>100</v>
      </c>
      <c r="L101" t="s">
        <v>101</v>
      </c>
    </row>
    <row r="102" spans="1:12">
      <c r="A102" t="s">
        <v>297</v>
      </c>
      <c r="B102" t="s">
        <v>317</v>
      </c>
      <c r="C102" t="s">
        <v>321</v>
      </c>
      <c r="D102" t="s">
        <v>325</v>
      </c>
      <c r="E102" s="2">
        <v>2</v>
      </c>
      <c r="F102" s="2">
        <v>200</v>
      </c>
      <c r="G102" s="2">
        <v>400</v>
      </c>
      <c r="H102" t="s">
        <v>329</v>
      </c>
      <c r="I102" s="2">
        <v>610002</v>
      </c>
      <c r="J102" t="s">
        <v>332</v>
      </c>
      <c r="K102" t="s">
        <v>100</v>
      </c>
      <c r="L102" t="s">
        <v>101</v>
      </c>
    </row>
    <row r="103" spans="1:12">
      <c r="A103" t="s">
        <v>298</v>
      </c>
      <c r="B103" t="s">
        <v>318</v>
      </c>
      <c r="C103" t="s">
        <v>322</v>
      </c>
      <c r="D103" t="s">
        <v>326</v>
      </c>
      <c r="E103" s="2">
        <v>3</v>
      </c>
      <c r="F103" s="2">
        <v>300</v>
      </c>
      <c r="G103" s="2">
        <v>900</v>
      </c>
      <c r="H103" t="s">
        <v>330</v>
      </c>
      <c r="I103" s="2">
        <v>610003</v>
      </c>
      <c r="J103" t="s">
        <v>333</v>
      </c>
      <c r="K103" t="s">
        <v>100</v>
      </c>
      <c r="L103" t="s">
        <v>101</v>
      </c>
    </row>
    <row r="104" spans="1:12">
      <c r="A104" t="s">
        <v>299</v>
      </c>
      <c r="B104" t="s">
        <v>319</v>
      </c>
      <c r="C104" t="s">
        <v>323</v>
      </c>
      <c r="D104" t="s">
        <v>327</v>
      </c>
      <c r="E104" s="2">
        <v>4</v>
      </c>
      <c r="F104" s="2">
        <v>400</v>
      </c>
      <c r="G104" s="2">
        <v>1600</v>
      </c>
      <c r="H104" t="s">
        <v>331</v>
      </c>
      <c r="I104" s="2">
        <v>610001</v>
      </c>
      <c r="J104" t="s">
        <v>334</v>
      </c>
      <c r="K104" t="s">
        <v>100</v>
      </c>
      <c r="L104" t="s">
        <v>101</v>
      </c>
    </row>
    <row r="105" spans="1:12">
      <c r="A105" t="s">
        <v>300</v>
      </c>
      <c r="B105" t="s">
        <v>320</v>
      </c>
      <c r="C105" t="s">
        <v>324</v>
      </c>
      <c r="D105" t="s">
        <v>328</v>
      </c>
      <c r="E105" s="2">
        <v>5</v>
      </c>
      <c r="F105" s="2">
        <v>100</v>
      </c>
      <c r="G105" s="2">
        <v>500</v>
      </c>
      <c r="H105" t="s">
        <v>329</v>
      </c>
      <c r="I105" s="2">
        <v>610002</v>
      </c>
      <c r="J105" t="s">
        <v>335</v>
      </c>
      <c r="K105" t="s">
        <v>100</v>
      </c>
      <c r="L105" t="s">
        <v>101</v>
      </c>
    </row>
    <row r="106" spans="1:12">
      <c r="A106" t="s">
        <v>301</v>
      </c>
      <c r="B106" t="s">
        <v>317</v>
      </c>
      <c r="C106" t="s">
        <v>321</v>
      </c>
      <c r="D106" t="s">
        <v>325</v>
      </c>
      <c r="E106" s="2">
        <v>1</v>
      </c>
      <c r="F106" s="2">
        <v>200</v>
      </c>
      <c r="G106" s="2">
        <v>200</v>
      </c>
      <c r="H106" t="s">
        <v>330</v>
      </c>
      <c r="I106" s="2">
        <v>610003</v>
      </c>
      <c r="J106" t="s">
        <v>332</v>
      </c>
      <c r="K106" t="s">
        <v>100</v>
      </c>
      <c r="L106" t="s">
        <v>101</v>
      </c>
    </row>
    <row r="107" spans="1:12">
      <c r="A107" t="s">
        <v>302</v>
      </c>
      <c r="B107" t="s">
        <v>318</v>
      </c>
      <c r="C107" t="s">
        <v>322</v>
      </c>
      <c r="D107" t="s">
        <v>326</v>
      </c>
      <c r="E107" s="2">
        <v>2</v>
      </c>
      <c r="F107" s="2">
        <v>300</v>
      </c>
      <c r="G107" s="2">
        <v>600</v>
      </c>
      <c r="H107" t="s">
        <v>331</v>
      </c>
      <c r="I107" s="2">
        <v>610001</v>
      </c>
      <c r="J107" t="s">
        <v>333</v>
      </c>
      <c r="K107" t="s">
        <v>100</v>
      </c>
      <c r="L107" t="s">
        <v>101</v>
      </c>
    </row>
    <row r="108" spans="1:12">
      <c r="A108" t="s">
        <v>303</v>
      </c>
      <c r="B108" t="s">
        <v>319</v>
      </c>
      <c r="C108" t="s">
        <v>323</v>
      </c>
      <c r="D108" t="s">
        <v>327</v>
      </c>
      <c r="E108" s="2">
        <v>3</v>
      </c>
      <c r="F108" s="2">
        <v>400</v>
      </c>
      <c r="G108" s="2">
        <v>1200</v>
      </c>
      <c r="H108" t="s">
        <v>329</v>
      </c>
      <c r="I108" s="2">
        <v>610002</v>
      </c>
      <c r="J108" t="s">
        <v>334</v>
      </c>
      <c r="K108" t="s">
        <v>100</v>
      </c>
      <c r="L108" t="s">
        <v>101</v>
      </c>
    </row>
    <row r="109" spans="1:12">
      <c r="A109" t="s">
        <v>304</v>
      </c>
      <c r="B109" t="s">
        <v>320</v>
      </c>
      <c r="C109" t="s">
        <v>324</v>
      </c>
      <c r="D109" t="s">
        <v>328</v>
      </c>
      <c r="E109" s="2">
        <v>4</v>
      </c>
      <c r="F109" s="2">
        <v>100</v>
      </c>
      <c r="G109" s="2">
        <v>400</v>
      </c>
      <c r="H109" t="s">
        <v>330</v>
      </c>
      <c r="I109" s="2">
        <v>610003</v>
      </c>
      <c r="J109" t="s">
        <v>335</v>
      </c>
      <c r="K109" t="s">
        <v>100</v>
      </c>
      <c r="L109" t="s">
        <v>101</v>
      </c>
    </row>
    <row r="110" spans="1:12">
      <c r="A110" t="s">
        <v>305</v>
      </c>
      <c r="B110" t="s">
        <v>317</v>
      </c>
      <c r="C110" t="s">
        <v>321</v>
      </c>
      <c r="D110" t="s">
        <v>325</v>
      </c>
      <c r="E110" s="2">
        <v>5</v>
      </c>
      <c r="F110" s="2">
        <v>200</v>
      </c>
      <c r="G110" s="2">
        <v>1000</v>
      </c>
      <c r="H110" t="s">
        <v>331</v>
      </c>
      <c r="I110" s="2">
        <v>610001</v>
      </c>
      <c r="J110" t="s">
        <v>332</v>
      </c>
      <c r="K110" t="s">
        <v>100</v>
      </c>
      <c r="L110" t="s">
        <v>101</v>
      </c>
    </row>
    <row r="111" spans="1:12">
      <c r="A111" t="s">
        <v>306</v>
      </c>
      <c r="B111" t="s">
        <v>318</v>
      </c>
      <c r="C111" t="s">
        <v>322</v>
      </c>
      <c r="D111" t="s">
        <v>326</v>
      </c>
      <c r="E111" s="2">
        <v>1</v>
      </c>
      <c r="F111" s="2">
        <v>300</v>
      </c>
      <c r="G111" s="2">
        <v>300</v>
      </c>
      <c r="H111" t="s">
        <v>329</v>
      </c>
      <c r="I111" s="2">
        <v>610002</v>
      </c>
      <c r="J111" t="s">
        <v>333</v>
      </c>
      <c r="K111" t="s">
        <v>100</v>
      </c>
      <c r="L111" t="s">
        <v>101</v>
      </c>
    </row>
    <row r="112" spans="1:12">
      <c r="A112" t="s">
        <v>307</v>
      </c>
      <c r="B112" t="s">
        <v>319</v>
      </c>
      <c r="C112" t="s">
        <v>323</v>
      </c>
      <c r="D112" t="s">
        <v>327</v>
      </c>
      <c r="E112" s="2">
        <v>2</v>
      </c>
      <c r="F112" s="2">
        <v>400</v>
      </c>
      <c r="G112" s="2">
        <v>800</v>
      </c>
      <c r="H112" t="s">
        <v>330</v>
      </c>
      <c r="I112" s="2">
        <v>610003</v>
      </c>
      <c r="J112" t="s">
        <v>334</v>
      </c>
      <c r="K112" t="s">
        <v>100</v>
      </c>
      <c r="L112" t="s">
        <v>101</v>
      </c>
    </row>
    <row r="113" spans="1:12">
      <c r="A113" t="s">
        <v>308</v>
      </c>
      <c r="B113" t="s">
        <v>320</v>
      </c>
      <c r="C113" t="s">
        <v>324</v>
      </c>
      <c r="D113" t="s">
        <v>328</v>
      </c>
      <c r="E113" s="2">
        <v>3</v>
      </c>
      <c r="F113" s="2">
        <v>100</v>
      </c>
      <c r="G113" s="2">
        <v>300</v>
      </c>
      <c r="H113" t="s">
        <v>331</v>
      </c>
      <c r="I113" s="2">
        <v>610001</v>
      </c>
      <c r="J113" t="s">
        <v>335</v>
      </c>
      <c r="K113" t="s">
        <v>100</v>
      </c>
      <c r="L113" t="s">
        <v>101</v>
      </c>
    </row>
    <row r="114" spans="1:12">
      <c r="A114" t="s">
        <v>309</v>
      </c>
      <c r="B114" t="s">
        <v>317</v>
      </c>
      <c r="C114" t="s">
        <v>321</v>
      </c>
      <c r="D114" t="s">
        <v>325</v>
      </c>
      <c r="E114" s="2">
        <v>4</v>
      </c>
      <c r="F114" s="2">
        <v>200</v>
      </c>
      <c r="G114" s="2">
        <v>800</v>
      </c>
      <c r="H114" t="s">
        <v>329</v>
      </c>
      <c r="I114" s="2">
        <v>610002</v>
      </c>
      <c r="J114" t="s">
        <v>332</v>
      </c>
      <c r="K114" t="s">
        <v>100</v>
      </c>
      <c r="L114" t="s">
        <v>101</v>
      </c>
    </row>
    <row r="115" spans="1:12">
      <c r="A115" t="s">
        <v>310</v>
      </c>
      <c r="B115" t="s">
        <v>318</v>
      </c>
      <c r="C115" t="s">
        <v>322</v>
      </c>
      <c r="D115" t="s">
        <v>326</v>
      </c>
      <c r="E115" s="2">
        <v>5</v>
      </c>
      <c r="F115" s="2">
        <v>300</v>
      </c>
      <c r="G115" s="2">
        <v>1500</v>
      </c>
      <c r="H115" t="s">
        <v>330</v>
      </c>
      <c r="I115" s="2">
        <v>610003</v>
      </c>
      <c r="J115" t="s">
        <v>333</v>
      </c>
      <c r="K115" t="s">
        <v>100</v>
      </c>
      <c r="L115" t="s">
        <v>101</v>
      </c>
    </row>
    <row r="116" spans="1:12">
      <c r="A116" t="s">
        <v>311</v>
      </c>
      <c r="B116" t="s">
        <v>319</v>
      </c>
      <c r="C116" t="s">
        <v>323</v>
      </c>
      <c r="D116" t="s">
        <v>327</v>
      </c>
      <c r="E116" s="2">
        <v>1</v>
      </c>
      <c r="F116" s="2">
        <v>400</v>
      </c>
      <c r="G116" s="2">
        <v>400</v>
      </c>
      <c r="H116" t="s">
        <v>331</v>
      </c>
      <c r="I116" s="2">
        <v>610001</v>
      </c>
      <c r="J116" t="s">
        <v>334</v>
      </c>
      <c r="K116" t="s">
        <v>100</v>
      </c>
      <c r="L116" t="s">
        <v>101</v>
      </c>
    </row>
    <row r="117" spans="1:12">
      <c r="A117" t="s">
        <v>312</v>
      </c>
      <c r="B117" t="s">
        <v>320</v>
      </c>
      <c r="C117" t="s">
        <v>324</v>
      </c>
      <c r="D117" t="s">
        <v>328</v>
      </c>
      <c r="E117" s="2">
        <v>2</v>
      </c>
      <c r="F117" s="2">
        <v>100</v>
      </c>
      <c r="G117" s="2">
        <v>200</v>
      </c>
      <c r="H117" t="s">
        <v>329</v>
      </c>
      <c r="I117" s="2">
        <v>610002</v>
      </c>
      <c r="J117" t="s">
        <v>335</v>
      </c>
      <c r="K117" t="s">
        <v>100</v>
      </c>
      <c r="L117" t="s">
        <v>101</v>
      </c>
    </row>
    <row r="118" spans="1:12">
      <c r="A118" t="s">
        <v>313</v>
      </c>
      <c r="B118" t="s">
        <v>317</v>
      </c>
      <c r="C118" t="s">
        <v>321</v>
      </c>
      <c r="D118" t="s">
        <v>325</v>
      </c>
      <c r="E118" s="2">
        <v>3</v>
      </c>
      <c r="F118" s="2">
        <v>200</v>
      </c>
      <c r="G118" s="2">
        <v>600</v>
      </c>
      <c r="H118" t="s">
        <v>330</v>
      </c>
      <c r="I118" s="2">
        <v>610003</v>
      </c>
      <c r="J118" t="s">
        <v>332</v>
      </c>
      <c r="K118" t="s">
        <v>100</v>
      </c>
      <c r="L118" t="s">
        <v>101</v>
      </c>
    </row>
    <row r="119" spans="1:12">
      <c r="A119" t="s">
        <v>314</v>
      </c>
      <c r="B119" t="s">
        <v>318</v>
      </c>
      <c r="C119" t="s">
        <v>322</v>
      </c>
      <c r="D119" t="s">
        <v>326</v>
      </c>
      <c r="E119" s="2">
        <v>4</v>
      </c>
      <c r="F119" s="2">
        <v>300</v>
      </c>
      <c r="G119" s="2">
        <v>1200</v>
      </c>
      <c r="H119" t="s">
        <v>331</v>
      </c>
      <c r="I119" s="2">
        <v>610001</v>
      </c>
      <c r="J119" t="s">
        <v>333</v>
      </c>
      <c r="K119" t="s">
        <v>100</v>
      </c>
      <c r="L119" t="s">
        <v>101</v>
      </c>
    </row>
    <row r="120" spans="1:12">
      <c r="A120" t="s">
        <v>315</v>
      </c>
      <c r="B120" t="s">
        <v>319</v>
      </c>
      <c r="C120" t="s">
        <v>323</v>
      </c>
      <c r="D120" t="s">
        <v>327</v>
      </c>
      <c r="E120" s="2">
        <v>5</v>
      </c>
      <c r="F120" s="2">
        <v>400</v>
      </c>
      <c r="G120" s="2">
        <v>2000</v>
      </c>
      <c r="H120" t="s">
        <v>329</v>
      </c>
      <c r="I120" s="2">
        <v>610002</v>
      </c>
      <c r="J120" t="s">
        <v>334</v>
      </c>
      <c r="K120" t="s">
        <v>100</v>
      </c>
      <c r="L120" t="s">
        <v>101</v>
      </c>
    </row>
    <row r="121" spans="1:12">
      <c r="A121" t="s">
        <v>316</v>
      </c>
      <c r="B121" t="s">
        <v>320</v>
      </c>
      <c r="C121" t="s">
        <v>324</v>
      </c>
      <c r="D121" t="s">
        <v>328</v>
      </c>
      <c r="E121" s="2">
        <v>1</v>
      </c>
      <c r="F121" s="2">
        <v>100</v>
      </c>
      <c r="G121" s="2">
        <v>100</v>
      </c>
      <c r="H121" t="s">
        <v>330</v>
      </c>
      <c r="I121" s="2">
        <v>610003</v>
      </c>
      <c r="J121" t="s">
        <v>335</v>
      </c>
      <c r="K121" t="s">
        <v>100</v>
      </c>
      <c r="L121" t="s">
        <v>101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2.7109375" customWidth="1"/>
    <col min="4" max="4" width="13.7109375" style="2" customWidth="1"/>
    <col min="5" max="5" width="16.7109375" style="2" customWidth="1"/>
    <col min="6" max="6" width="12.7109375" style="4" customWidth="1"/>
    <col min="7" max="7" width="21.7109375" style="5" customWidth="1"/>
    <col min="8" max="8" width="12.7109375" customWidth="1"/>
  </cols>
  <sheetData>
    <row r="1" spans="1:8">
      <c r="A1" t="s">
        <v>41</v>
      </c>
      <c r="B1" t="s">
        <v>19</v>
      </c>
      <c r="C1" t="s">
        <v>48</v>
      </c>
      <c r="D1" s="2" t="s">
        <v>50</v>
      </c>
      <c r="E1" s="2" t="s">
        <v>51</v>
      </c>
      <c r="F1" s="4" t="s">
        <v>52</v>
      </c>
      <c r="G1" s="5" t="s">
        <v>53</v>
      </c>
      <c r="H1" t="s">
        <v>49</v>
      </c>
    </row>
    <row r="2" spans="1:8">
      <c r="A2" t="s">
        <v>321</v>
      </c>
      <c r="B2" t="s">
        <v>332</v>
      </c>
      <c r="C2" t="s">
        <v>100</v>
      </c>
      <c r="D2" s="2">
        <v>200</v>
      </c>
      <c r="E2" s="2">
        <v>130</v>
      </c>
      <c r="F2" s="4">
        <v>0.35</v>
      </c>
      <c r="G2" s="6">
        <v>44986</v>
      </c>
      <c r="H2" t="s">
        <v>101</v>
      </c>
    </row>
    <row r="3" spans="1:8">
      <c r="A3" t="s">
        <v>322</v>
      </c>
      <c r="B3" t="s">
        <v>333</v>
      </c>
      <c r="C3" t="s">
        <v>100</v>
      </c>
      <c r="D3" s="2">
        <v>300</v>
      </c>
      <c r="E3" s="2">
        <v>195</v>
      </c>
      <c r="F3" s="4">
        <v>0.35</v>
      </c>
      <c r="G3" s="6">
        <v>40210</v>
      </c>
      <c r="H3" t="s">
        <v>101</v>
      </c>
    </row>
    <row r="4" spans="1:8">
      <c r="A4" t="s">
        <v>323</v>
      </c>
      <c r="B4" t="s">
        <v>334</v>
      </c>
      <c r="C4" t="s">
        <v>100</v>
      </c>
      <c r="D4" s="2">
        <v>400</v>
      </c>
      <c r="E4" s="2">
        <v>240</v>
      </c>
      <c r="F4" s="4">
        <v>0.4</v>
      </c>
      <c r="G4" s="6">
        <v>40722</v>
      </c>
      <c r="H4" t="s">
        <v>101</v>
      </c>
    </row>
    <row r="5" spans="1:8">
      <c r="A5" t="s">
        <v>324</v>
      </c>
      <c r="B5" t="s">
        <v>335</v>
      </c>
      <c r="C5" t="s">
        <v>100</v>
      </c>
      <c r="D5" s="2">
        <v>100</v>
      </c>
      <c r="E5" s="2">
        <v>55</v>
      </c>
      <c r="F5" s="4">
        <v>0.45</v>
      </c>
      <c r="G5" s="6">
        <v>42209</v>
      </c>
      <c r="H5" t="s">
        <v>101</v>
      </c>
    </row>
    <row r="6" spans="1:8">
      <c r="A6" t="s">
        <v>336</v>
      </c>
      <c r="B6" t="s">
        <v>334</v>
      </c>
      <c r="C6" t="s">
        <v>100</v>
      </c>
      <c r="D6" s="2">
        <v>150</v>
      </c>
      <c r="E6" s="2">
        <v>90</v>
      </c>
      <c r="F6" s="4">
        <v>0.4</v>
      </c>
      <c r="G6" s="6">
        <v>42808</v>
      </c>
      <c r="H6" t="s">
        <v>101</v>
      </c>
    </row>
    <row r="7" spans="1:8">
      <c r="A7" t="s">
        <v>337</v>
      </c>
      <c r="B7" t="s">
        <v>338</v>
      </c>
      <c r="C7" t="s">
        <v>100</v>
      </c>
      <c r="D7" s="2">
        <v>500</v>
      </c>
      <c r="E7" s="2">
        <v>340</v>
      </c>
      <c r="F7" s="4">
        <v>0.32</v>
      </c>
      <c r="G7" s="6">
        <v>42675</v>
      </c>
      <c r="H7" t="s">
        <v>339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7.7109375" customWidth="1"/>
    <col min="5" max="5" width="24.7109375" customWidth="1"/>
    <col min="6" max="6" width="21.7109375" style="5" customWidth="1"/>
    <col min="7" max="7" width="14.7109375" style="4" customWidth="1"/>
    <col min="8" max="8" width="14.7109375" style="2" customWidth="1"/>
  </cols>
  <sheetData>
    <row r="1" spans="1:8">
      <c r="A1" t="s">
        <v>42</v>
      </c>
      <c r="B1" t="s">
        <v>40</v>
      </c>
      <c r="C1" t="s">
        <v>54</v>
      </c>
      <c r="D1" t="s">
        <v>55</v>
      </c>
      <c r="E1" t="s">
        <v>56</v>
      </c>
      <c r="F1" s="5" t="s">
        <v>57</v>
      </c>
      <c r="G1" s="4" t="s">
        <v>58</v>
      </c>
      <c r="H1" s="2" t="s">
        <v>59</v>
      </c>
    </row>
    <row r="2" spans="1:8">
      <c r="A2" t="s">
        <v>325</v>
      </c>
      <c r="B2" t="s">
        <v>317</v>
      </c>
      <c r="C2" t="s">
        <v>321</v>
      </c>
      <c r="D2" t="s">
        <v>343</v>
      </c>
      <c r="E2" t="s">
        <v>345</v>
      </c>
      <c r="F2" s="6">
        <v>44270</v>
      </c>
      <c r="G2" s="4">
        <v>0.04</v>
      </c>
      <c r="H2" s="2">
        <v>7500</v>
      </c>
    </row>
    <row r="3" spans="1:8">
      <c r="A3" t="s">
        <v>326</v>
      </c>
      <c r="B3" t="s">
        <v>318</v>
      </c>
      <c r="C3" t="s">
        <v>322</v>
      </c>
      <c r="D3" t="s">
        <v>344</v>
      </c>
      <c r="E3" t="s">
        <v>346</v>
      </c>
      <c r="F3" s="6">
        <v>44774</v>
      </c>
      <c r="G3" s="4">
        <v>0.035</v>
      </c>
      <c r="H3" s="2">
        <v>6200</v>
      </c>
    </row>
    <row r="4" spans="1:8">
      <c r="A4" t="s">
        <v>327</v>
      </c>
      <c r="B4" t="s">
        <v>319</v>
      </c>
      <c r="C4" t="s">
        <v>323</v>
      </c>
      <c r="D4" t="s">
        <v>344</v>
      </c>
      <c r="E4" t="s">
        <v>345</v>
      </c>
      <c r="F4" s="6">
        <v>43850</v>
      </c>
      <c r="G4" s="4">
        <v>0.045</v>
      </c>
      <c r="H4" s="2">
        <v>7800</v>
      </c>
    </row>
    <row r="5" spans="1:8">
      <c r="A5" t="s">
        <v>328</v>
      </c>
      <c r="B5" t="s">
        <v>320</v>
      </c>
      <c r="C5" t="s">
        <v>324</v>
      </c>
      <c r="D5" t="s">
        <v>343</v>
      </c>
      <c r="E5" t="s">
        <v>347</v>
      </c>
      <c r="F5" s="6">
        <v>45418</v>
      </c>
      <c r="G5" s="4">
        <v>0.03</v>
      </c>
      <c r="H5" s="2">
        <v>4800</v>
      </c>
    </row>
    <row r="6" spans="1:8">
      <c r="A6" t="s">
        <v>340</v>
      </c>
      <c r="B6" t="s">
        <v>317</v>
      </c>
      <c r="C6" t="s">
        <v>336</v>
      </c>
      <c r="D6" t="s">
        <v>343</v>
      </c>
      <c r="E6" t="s">
        <v>347</v>
      </c>
      <c r="F6" s="6">
        <v>45698</v>
      </c>
      <c r="G6" s="4">
        <v>0.03</v>
      </c>
      <c r="H6" s="2">
        <v>4500</v>
      </c>
    </row>
    <row r="7" spans="1:8">
      <c r="A7" t="s">
        <v>341</v>
      </c>
      <c r="B7" t="s">
        <v>320</v>
      </c>
      <c r="C7" t="s">
        <v>337</v>
      </c>
      <c r="D7" t="s">
        <v>343</v>
      </c>
      <c r="E7" t="s">
        <v>346</v>
      </c>
      <c r="F7" s="6">
        <v>45173</v>
      </c>
      <c r="G7" s="4">
        <v>0.035</v>
      </c>
      <c r="H7" s="2">
        <v>6000</v>
      </c>
    </row>
    <row r="8" spans="1:8">
      <c r="A8" t="s">
        <v>342</v>
      </c>
      <c r="B8" t="s">
        <v>318</v>
      </c>
      <c r="C8" t="s">
        <v>336</v>
      </c>
      <c r="D8" t="s">
        <v>344</v>
      </c>
      <c r="E8" t="s">
        <v>347</v>
      </c>
      <c r="F8" s="6">
        <v>45943</v>
      </c>
      <c r="G8" s="4">
        <v>0.03</v>
      </c>
      <c r="H8" s="2">
        <v>4500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2.7109375" customWidth="1"/>
    <col min="3" max="3" width="12.7109375" customWidth="1"/>
    <col min="4" max="4" width="15.7109375" customWidth="1"/>
    <col min="5" max="5" width="23.7109375" style="2" customWidth="1"/>
  </cols>
  <sheetData>
    <row r="1" spans="1:5">
      <c r="A1" t="s">
        <v>46</v>
      </c>
      <c r="B1" t="s">
        <v>60</v>
      </c>
      <c r="C1" t="s">
        <v>61</v>
      </c>
      <c r="D1" t="s">
        <v>62</v>
      </c>
      <c r="E1" s="2" t="s">
        <v>63</v>
      </c>
    </row>
    <row r="2" spans="1:5">
      <c r="A2" t="s">
        <v>331</v>
      </c>
      <c r="B2" t="s">
        <v>349</v>
      </c>
      <c r="C2" t="s">
        <v>353</v>
      </c>
      <c r="D2" t="s">
        <v>355</v>
      </c>
      <c r="E2" s="2">
        <v>33000</v>
      </c>
    </row>
    <row r="3" spans="1:5">
      <c r="A3" t="s">
        <v>329</v>
      </c>
      <c r="B3" t="s">
        <v>350</v>
      </c>
      <c r="C3" t="s">
        <v>353</v>
      </c>
      <c r="D3" t="s">
        <v>356</v>
      </c>
      <c r="E3" s="2">
        <v>30000</v>
      </c>
    </row>
    <row r="4" spans="1:5">
      <c r="A4" t="s">
        <v>330</v>
      </c>
      <c r="B4" t="s">
        <v>351</v>
      </c>
      <c r="C4" t="s">
        <v>353</v>
      </c>
      <c r="D4" t="s">
        <v>357</v>
      </c>
      <c r="E4" s="2">
        <v>28500</v>
      </c>
    </row>
    <row r="5" spans="1:5">
      <c r="A5" t="s">
        <v>348</v>
      </c>
      <c r="B5" t="s">
        <v>352</v>
      </c>
      <c r="C5" t="s">
        <v>354</v>
      </c>
      <c r="D5" t="s">
        <v>358</v>
      </c>
      <c r="E5" s="2">
        <v>15000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30.7109375" customWidth="1"/>
    <col min="3" max="4" width="12.7109375" customWidth="1"/>
  </cols>
  <sheetData>
    <row r="1" spans="1:4">
      <c r="A1" s="2" t="s">
        <v>47</v>
      </c>
      <c r="B1" t="s">
        <v>64</v>
      </c>
      <c r="C1" t="s">
        <v>65</v>
      </c>
      <c r="D1" t="s">
        <v>66</v>
      </c>
    </row>
    <row r="2" spans="1:4">
      <c r="A2" s="2">
        <v>610001</v>
      </c>
      <c r="B2" t="s">
        <v>359</v>
      </c>
      <c r="C2" t="s">
        <v>118</v>
      </c>
      <c r="D2" t="s">
        <v>119</v>
      </c>
    </row>
    <row r="3" spans="1:4">
      <c r="A3" s="2">
        <v>610002</v>
      </c>
      <c r="B3" t="s">
        <v>360</v>
      </c>
      <c r="C3" t="s">
        <v>118</v>
      </c>
      <c r="D3" t="s">
        <v>119</v>
      </c>
    </row>
    <row r="4" spans="1:4">
      <c r="A4" s="2">
        <v>610003</v>
      </c>
      <c r="B4" t="s">
        <v>361</v>
      </c>
      <c r="C4" t="s">
        <v>118</v>
      </c>
      <c r="D4" t="s">
        <v>119</v>
      </c>
    </row>
    <row r="5" spans="1:4">
      <c r="A5" s="2">
        <v>610004</v>
      </c>
      <c r="B5" t="s">
        <v>362</v>
      </c>
      <c r="C5" t="s">
        <v>118</v>
      </c>
      <c r="D5" t="s">
        <v>119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5" customWidth="1"/>
    <col min="2" max="3" width="12.7109375" customWidth="1"/>
    <col min="4" max="4" width="17.7109375" style="2" customWidth="1"/>
    <col min="5" max="5" width="13.7109375" style="2" customWidth="1"/>
    <col min="6" max="6" width="12.7109375" style="2" customWidth="1"/>
  </cols>
  <sheetData>
    <row r="1" spans="1:6">
      <c r="A1" s="5" t="s">
        <v>67</v>
      </c>
      <c r="B1" t="s">
        <v>40</v>
      </c>
      <c r="C1" t="s">
        <v>41</v>
      </c>
      <c r="D1" s="2" t="s">
        <v>68</v>
      </c>
      <c r="E1" s="2" t="s">
        <v>50</v>
      </c>
      <c r="F1" s="2" t="s">
        <v>69</v>
      </c>
    </row>
    <row r="2" spans="1:6">
      <c r="A2" s="6">
        <v>46023</v>
      </c>
      <c r="B2" t="s">
        <v>317</v>
      </c>
      <c r="C2" t="s">
        <v>321</v>
      </c>
      <c r="D2" s="2">
        <v>13</v>
      </c>
      <c r="E2" s="2">
        <v>200</v>
      </c>
      <c r="F2" s="2">
        <v>2600</v>
      </c>
    </row>
    <row r="3" spans="1:6">
      <c r="A3" s="6">
        <v>46023</v>
      </c>
      <c r="B3" t="s">
        <v>318</v>
      </c>
      <c r="C3" t="s">
        <v>322</v>
      </c>
      <c r="D3" s="2">
        <v>12</v>
      </c>
      <c r="E3" s="2">
        <v>300</v>
      </c>
      <c r="F3" s="2">
        <v>3600</v>
      </c>
    </row>
    <row r="4" spans="1:6">
      <c r="A4" s="6">
        <v>46023</v>
      </c>
      <c r="B4" t="s">
        <v>319</v>
      </c>
      <c r="C4" t="s">
        <v>323</v>
      </c>
      <c r="D4" s="2">
        <v>16</v>
      </c>
      <c r="E4" s="2">
        <v>400</v>
      </c>
      <c r="F4" s="2">
        <v>6400</v>
      </c>
    </row>
    <row r="5" spans="1:6">
      <c r="A5" s="6">
        <v>46023</v>
      </c>
      <c r="B5" t="s">
        <v>320</v>
      </c>
      <c r="C5" t="s">
        <v>324</v>
      </c>
      <c r="D5" s="2">
        <v>15</v>
      </c>
      <c r="E5" s="2">
        <v>100</v>
      </c>
      <c r="F5" s="2">
        <v>1500</v>
      </c>
    </row>
    <row r="6" spans="1:6">
      <c r="A6" s="6">
        <v>46054</v>
      </c>
      <c r="B6" t="s">
        <v>317</v>
      </c>
      <c r="C6" t="s">
        <v>321</v>
      </c>
      <c r="D6" s="2">
        <v>15</v>
      </c>
      <c r="E6" s="2">
        <v>200</v>
      </c>
      <c r="F6" s="2">
        <v>3000</v>
      </c>
    </row>
    <row r="7" spans="1:6">
      <c r="A7" s="6">
        <v>46054</v>
      </c>
      <c r="B7" t="s">
        <v>318</v>
      </c>
      <c r="C7" t="s">
        <v>322</v>
      </c>
      <c r="D7" s="2">
        <v>14</v>
      </c>
      <c r="E7" s="2">
        <v>300</v>
      </c>
      <c r="F7" s="2">
        <v>4200</v>
      </c>
    </row>
    <row r="8" spans="1:6">
      <c r="A8" s="6">
        <v>46054</v>
      </c>
      <c r="B8" t="s">
        <v>319</v>
      </c>
      <c r="C8" t="s">
        <v>323</v>
      </c>
      <c r="D8" s="2">
        <v>13</v>
      </c>
      <c r="E8" s="2">
        <v>400</v>
      </c>
      <c r="F8" s="2">
        <v>5200</v>
      </c>
    </row>
    <row r="9" spans="1:6">
      <c r="A9" s="6">
        <v>46054</v>
      </c>
      <c r="B9" t="s">
        <v>320</v>
      </c>
      <c r="C9" t="s">
        <v>324</v>
      </c>
      <c r="D9" s="2">
        <v>13</v>
      </c>
      <c r="E9" s="2">
        <v>100</v>
      </c>
      <c r="F9" s="2">
        <v>1300</v>
      </c>
    </row>
    <row r="10" spans="1:6">
      <c r="A10" s="6">
        <v>46082</v>
      </c>
      <c r="B10" t="s">
        <v>317</v>
      </c>
      <c r="C10" t="s">
        <v>321</v>
      </c>
      <c r="D10" s="2">
        <v>18</v>
      </c>
      <c r="E10" s="2">
        <v>200</v>
      </c>
      <c r="F10" s="2">
        <v>3600</v>
      </c>
    </row>
    <row r="11" spans="1:6">
      <c r="A11" s="6">
        <v>46082</v>
      </c>
      <c r="B11" t="s">
        <v>318</v>
      </c>
      <c r="C11" t="s">
        <v>322</v>
      </c>
      <c r="D11" s="2">
        <v>12</v>
      </c>
      <c r="E11" s="2">
        <v>300</v>
      </c>
      <c r="F11" s="2">
        <v>3600</v>
      </c>
    </row>
    <row r="12" spans="1:6">
      <c r="A12" s="6">
        <v>46082</v>
      </c>
      <c r="B12" t="s">
        <v>319</v>
      </c>
      <c r="C12" t="s">
        <v>323</v>
      </c>
      <c r="D12" s="2">
        <v>12</v>
      </c>
      <c r="E12" s="2">
        <v>400</v>
      </c>
      <c r="F12" s="2">
        <v>4800</v>
      </c>
    </row>
    <row r="13" spans="1:6">
      <c r="A13" s="6">
        <v>46082</v>
      </c>
      <c r="B13" t="s">
        <v>320</v>
      </c>
      <c r="C13" t="s">
        <v>324</v>
      </c>
      <c r="D13" s="2">
        <v>13</v>
      </c>
      <c r="E13" s="2">
        <v>100</v>
      </c>
      <c r="F13" s="2">
        <v>1300</v>
      </c>
    </row>
    <row r="14" spans="1:6">
      <c r="A14" s="6">
        <v>46113</v>
      </c>
      <c r="B14" t="s">
        <v>317</v>
      </c>
      <c r="C14" t="s">
        <v>321</v>
      </c>
      <c r="D14" s="2">
        <v>15</v>
      </c>
      <c r="E14" s="2">
        <v>200</v>
      </c>
      <c r="F14" s="2">
        <v>3000</v>
      </c>
    </row>
    <row r="15" spans="1:6">
      <c r="A15" s="6">
        <v>46113</v>
      </c>
      <c r="B15" t="s">
        <v>318</v>
      </c>
      <c r="C15" t="s">
        <v>322</v>
      </c>
      <c r="D15" s="2">
        <v>15</v>
      </c>
      <c r="E15" s="2">
        <v>300</v>
      </c>
      <c r="F15" s="2">
        <v>4500</v>
      </c>
    </row>
    <row r="16" spans="1:6">
      <c r="A16" s="6">
        <v>46113</v>
      </c>
      <c r="B16" t="s">
        <v>319</v>
      </c>
      <c r="C16" t="s">
        <v>323</v>
      </c>
      <c r="D16" s="2">
        <v>12</v>
      </c>
      <c r="E16" s="2">
        <v>400</v>
      </c>
      <c r="F16" s="2">
        <v>4800</v>
      </c>
    </row>
    <row r="17" spans="1:6">
      <c r="A17" s="6">
        <v>46113</v>
      </c>
      <c r="B17" t="s">
        <v>320</v>
      </c>
      <c r="C17" t="s">
        <v>324</v>
      </c>
      <c r="D17" s="2">
        <v>15</v>
      </c>
      <c r="E17" s="2">
        <v>100</v>
      </c>
      <c r="F17" s="2">
        <v>1500</v>
      </c>
    </row>
    <row r="18" spans="1:6">
      <c r="A18" s="6">
        <v>46143</v>
      </c>
      <c r="B18" t="s">
        <v>317</v>
      </c>
      <c r="C18" t="s">
        <v>321</v>
      </c>
      <c r="D18" s="2">
        <v>18</v>
      </c>
      <c r="E18" s="2">
        <v>200</v>
      </c>
      <c r="F18" s="2">
        <v>3600</v>
      </c>
    </row>
    <row r="19" spans="1:6">
      <c r="A19" s="6">
        <v>46143</v>
      </c>
      <c r="B19" t="s">
        <v>318</v>
      </c>
      <c r="C19" t="s">
        <v>322</v>
      </c>
      <c r="D19" s="2">
        <v>15</v>
      </c>
      <c r="E19" s="2">
        <v>300</v>
      </c>
      <c r="F19" s="2">
        <v>4500</v>
      </c>
    </row>
    <row r="20" spans="1:6">
      <c r="A20" s="6">
        <v>46143</v>
      </c>
      <c r="B20" t="s">
        <v>319</v>
      </c>
      <c r="C20" t="s">
        <v>323</v>
      </c>
      <c r="D20" s="2">
        <v>19</v>
      </c>
      <c r="E20" s="2">
        <v>400</v>
      </c>
      <c r="F20" s="2">
        <v>7600</v>
      </c>
    </row>
    <row r="21" spans="1:6">
      <c r="A21" s="6">
        <v>46143</v>
      </c>
      <c r="B21" t="s">
        <v>320</v>
      </c>
      <c r="C21" t="s">
        <v>324</v>
      </c>
      <c r="D21" s="2">
        <v>16</v>
      </c>
      <c r="E21" s="2">
        <v>100</v>
      </c>
      <c r="F21" s="2">
        <v>1600</v>
      </c>
    </row>
    <row r="22" spans="1:6">
      <c r="A22" s="6">
        <v>46174</v>
      </c>
      <c r="B22" t="s">
        <v>317</v>
      </c>
      <c r="C22" t="s">
        <v>321</v>
      </c>
      <c r="D22" s="2">
        <v>12</v>
      </c>
      <c r="E22" s="2">
        <v>200</v>
      </c>
      <c r="F22" s="2">
        <v>2400</v>
      </c>
    </row>
    <row r="23" spans="1:6">
      <c r="A23" s="6">
        <v>46174</v>
      </c>
      <c r="B23" t="s">
        <v>318</v>
      </c>
      <c r="C23" t="s">
        <v>322</v>
      </c>
      <c r="D23" s="2">
        <v>14</v>
      </c>
      <c r="E23" s="2">
        <v>300</v>
      </c>
      <c r="F23" s="2">
        <v>4200</v>
      </c>
    </row>
    <row r="24" spans="1:6">
      <c r="A24" s="6">
        <v>46174</v>
      </c>
      <c r="B24" t="s">
        <v>319</v>
      </c>
      <c r="C24" t="s">
        <v>323</v>
      </c>
      <c r="D24" s="2">
        <v>18</v>
      </c>
      <c r="E24" s="2">
        <v>400</v>
      </c>
      <c r="F24" s="2">
        <v>7200</v>
      </c>
    </row>
    <row r="25" spans="1:6">
      <c r="A25" s="6">
        <v>46174</v>
      </c>
      <c r="B25" t="s">
        <v>320</v>
      </c>
      <c r="C25" t="s">
        <v>324</v>
      </c>
      <c r="D25" s="2">
        <v>17</v>
      </c>
      <c r="E25" s="2">
        <v>100</v>
      </c>
      <c r="F25" s="2">
        <v>1700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5" customWidth="1"/>
    <col min="2" max="2" width="28.7109375" customWidth="1"/>
    <col min="3" max="3" width="19.7109375" customWidth="1"/>
  </cols>
  <sheetData>
    <row r="1" spans="1:3">
      <c r="A1" s="5" t="s">
        <v>39</v>
      </c>
      <c r="B1" t="s">
        <v>70</v>
      </c>
      <c r="C1" t="s">
        <v>18</v>
      </c>
    </row>
    <row r="2" spans="1:3">
      <c r="A2" s="6">
        <v>46023</v>
      </c>
      <c r="B2" t="s">
        <v>363</v>
      </c>
      <c r="C2" t="s">
        <v>370</v>
      </c>
    </row>
    <row r="3" spans="1:3">
      <c r="A3" s="6">
        <v>46069</v>
      </c>
      <c r="B3" t="s">
        <v>364</v>
      </c>
      <c r="C3" t="s">
        <v>371</v>
      </c>
    </row>
    <row r="4" spans="1:3">
      <c r="A4" s="6">
        <v>46070</v>
      </c>
      <c r="B4" t="s">
        <v>365</v>
      </c>
      <c r="C4" t="s">
        <v>371</v>
      </c>
    </row>
    <row r="5" spans="1:3">
      <c r="A5" s="6">
        <v>46115</v>
      </c>
      <c r="B5" t="s">
        <v>366</v>
      </c>
      <c r="C5" t="s">
        <v>370</v>
      </c>
    </row>
    <row r="6" spans="1:3">
      <c r="A6" s="6">
        <v>46133</v>
      </c>
      <c r="B6" t="s">
        <v>367</v>
      </c>
      <c r="C6" t="s">
        <v>370</v>
      </c>
    </row>
    <row r="7" spans="1:3">
      <c r="A7" s="6">
        <v>46143</v>
      </c>
      <c r="B7" t="s">
        <v>368</v>
      </c>
      <c r="C7" t="s">
        <v>370</v>
      </c>
    </row>
    <row r="8" spans="1:3">
      <c r="A8" s="6">
        <v>46177</v>
      </c>
      <c r="B8" t="s">
        <v>369</v>
      </c>
      <c r="C8" t="s">
        <v>371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style="4" customWidth="1"/>
    <col min="2" max="2" width="12.7109375" style="4" customWidth="1"/>
    <col min="3" max="3" width="17.7109375" customWidth="1"/>
  </cols>
  <sheetData>
    <row r="1" spans="1:3">
      <c r="A1" s="4" t="s">
        <v>71</v>
      </c>
      <c r="B1" s="4" t="s">
        <v>72</v>
      </c>
      <c r="C1" t="s">
        <v>73</v>
      </c>
    </row>
    <row r="2" spans="1:3">
      <c r="A2" s="4">
        <v>0</v>
      </c>
      <c r="B2" s="4">
        <v>0</v>
      </c>
      <c r="C2" t="s">
        <v>372</v>
      </c>
    </row>
    <row r="3" spans="1:3">
      <c r="A3" s="4">
        <v>0.8</v>
      </c>
      <c r="B3" s="4">
        <v>0.02</v>
      </c>
      <c r="C3" t="s">
        <v>373</v>
      </c>
    </row>
    <row r="4" spans="1:3">
      <c r="A4" s="4">
        <v>1</v>
      </c>
      <c r="B4" s="4">
        <v>0.05</v>
      </c>
      <c r="C4" t="s">
        <v>374</v>
      </c>
    </row>
    <row r="5" spans="1:3">
      <c r="A5" s="4">
        <v>1.2</v>
      </c>
      <c r="B5" s="4">
        <v>0.08</v>
      </c>
      <c r="C5" t="s">
        <v>375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15.7109375" customWidth="1"/>
    <col min="3" max="3" width="24.7109375" customWidth="1"/>
    <col min="4" max="4" width="50.7109375" customWidth="1"/>
    <col min="5" max="5" width="14.7109375" style="4" customWidth="1"/>
  </cols>
  <sheetData>
    <row r="1" spans="1:5">
      <c r="A1" s="2" t="s">
        <v>74</v>
      </c>
      <c r="B1" t="s">
        <v>75</v>
      </c>
      <c r="C1" t="s">
        <v>76</v>
      </c>
      <c r="D1" t="s">
        <v>77</v>
      </c>
      <c r="E1" s="4" t="s">
        <v>78</v>
      </c>
    </row>
    <row r="2" spans="1:5">
      <c r="A2" s="2">
        <v>1</v>
      </c>
      <c r="B2" t="s">
        <v>376</v>
      </c>
      <c r="C2" t="s">
        <v>380</v>
      </c>
      <c r="D2" t="s">
        <v>398</v>
      </c>
    </row>
    <row r="3" spans="1:5">
      <c r="A3" s="2">
        <v>2</v>
      </c>
      <c r="B3" t="s">
        <v>376</v>
      </c>
      <c r="C3" t="s">
        <v>381</v>
      </c>
      <c r="D3" t="s">
        <v>399</v>
      </c>
    </row>
    <row r="4" spans="1:5">
      <c r="A4" s="2">
        <v>3</v>
      </c>
      <c r="B4" t="s">
        <v>376</v>
      </c>
      <c r="C4" t="s">
        <v>382</v>
      </c>
      <c r="D4" t="s">
        <v>400</v>
      </c>
    </row>
    <row r="5" spans="1:5">
      <c r="A5" s="2">
        <v>4</v>
      </c>
      <c r="B5" t="s">
        <v>376</v>
      </c>
      <c r="C5" t="s">
        <v>383</v>
      </c>
      <c r="D5" t="s">
        <v>401</v>
      </c>
    </row>
    <row r="6" spans="1:5">
      <c r="A6" s="2">
        <v>5</v>
      </c>
      <c r="B6" t="s">
        <v>376</v>
      </c>
      <c r="C6" t="s">
        <v>384</v>
      </c>
      <c r="D6" t="s">
        <v>402</v>
      </c>
    </row>
    <row r="7" spans="1:5">
      <c r="A7" s="2">
        <v>6</v>
      </c>
      <c r="B7" t="s">
        <v>376</v>
      </c>
      <c r="C7" t="s">
        <v>384</v>
      </c>
      <c r="D7" t="s">
        <v>403</v>
      </c>
    </row>
    <row r="8" spans="1:5">
      <c r="A8" s="2">
        <v>7</v>
      </c>
      <c r="B8" t="s">
        <v>376</v>
      </c>
      <c r="C8" t="s">
        <v>385</v>
      </c>
      <c r="D8" t="s">
        <v>404</v>
      </c>
    </row>
    <row r="9" spans="1:5">
      <c r="A9" s="2">
        <v>8</v>
      </c>
      <c r="B9" t="s">
        <v>377</v>
      </c>
      <c r="C9" t="s">
        <v>153</v>
      </c>
      <c r="D9" t="s">
        <v>405</v>
      </c>
    </row>
    <row r="10" spans="1:5">
      <c r="A10" s="2">
        <v>9</v>
      </c>
      <c r="B10" t="s">
        <v>377</v>
      </c>
      <c r="C10" t="s">
        <v>386</v>
      </c>
      <c r="D10" t="s">
        <v>406</v>
      </c>
    </row>
    <row r="11" spans="1:5">
      <c r="A11" s="2">
        <v>10</v>
      </c>
      <c r="B11" t="s">
        <v>377</v>
      </c>
      <c r="C11" t="s">
        <v>387</v>
      </c>
      <c r="D11" t="s">
        <v>407</v>
      </c>
    </row>
    <row r="12" spans="1:5">
      <c r="A12" s="2">
        <v>11</v>
      </c>
      <c r="B12" t="s">
        <v>377</v>
      </c>
      <c r="C12" t="s">
        <v>388</v>
      </c>
      <c r="D12" t="s">
        <v>408</v>
      </c>
    </row>
    <row r="13" spans="1:5">
      <c r="A13" s="2">
        <v>12</v>
      </c>
      <c r="B13" t="s">
        <v>377</v>
      </c>
      <c r="C13" t="s">
        <v>153</v>
      </c>
      <c r="D13" t="s">
        <v>409</v>
      </c>
    </row>
    <row r="14" spans="1:5">
      <c r="A14" s="2">
        <v>13</v>
      </c>
      <c r="B14" t="s">
        <v>377</v>
      </c>
      <c r="C14" t="s">
        <v>153</v>
      </c>
      <c r="D14" t="s">
        <v>410</v>
      </c>
    </row>
    <row r="15" spans="1:5">
      <c r="A15" s="2">
        <v>14</v>
      </c>
      <c r="B15" t="s">
        <v>377</v>
      </c>
      <c r="C15" t="s">
        <v>389</v>
      </c>
      <c r="D15" t="s">
        <v>411</v>
      </c>
    </row>
    <row r="16" spans="1:5">
      <c r="A16" s="2">
        <v>15</v>
      </c>
      <c r="B16" t="s">
        <v>377</v>
      </c>
      <c r="C16" t="s">
        <v>390</v>
      </c>
      <c r="D16" t="s">
        <v>412</v>
      </c>
    </row>
    <row r="17" spans="1:4">
      <c r="A17" s="2">
        <v>16</v>
      </c>
      <c r="B17" t="s">
        <v>377</v>
      </c>
      <c r="C17" t="s">
        <v>391</v>
      </c>
      <c r="D17" t="s">
        <v>413</v>
      </c>
    </row>
    <row r="18" spans="1:4">
      <c r="A18" s="2">
        <v>17</v>
      </c>
      <c r="B18" t="s">
        <v>377</v>
      </c>
      <c r="C18" t="s">
        <v>392</v>
      </c>
      <c r="D18" t="s">
        <v>414</v>
      </c>
    </row>
    <row r="19" spans="1:4">
      <c r="A19" s="2">
        <v>18</v>
      </c>
      <c r="B19" t="s">
        <v>378</v>
      </c>
      <c r="C19" t="s">
        <v>393</v>
      </c>
      <c r="D19" t="s">
        <v>415</v>
      </c>
    </row>
    <row r="20" spans="1:4">
      <c r="A20" s="2">
        <v>19</v>
      </c>
      <c r="B20" t="s">
        <v>378</v>
      </c>
      <c r="C20" t="s">
        <v>394</v>
      </c>
      <c r="D20" t="s">
        <v>416</v>
      </c>
    </row>
    <row r="21" spans="1:4">
      <c r="A21" s="2">
        <v>20</v>
      </c>
      <c r="B21" t="s">
        <v>378</v>
      </c>
      <c r="C21" t="s">
        <v>384</v>
      </c>
      <c r="D21" t="s">
        <v>417</v>
      </c>
    </row>
    <row r="22" spans="1:4">
      <c r="A22" s="2">
        <v>21</v>
      </c>
      <c r="B22" t="s">
        <v>378</v>
      </c>
      <c r="C22" t="s">
        <v>387</v>
      </c>
      <c r="D22" t="s">
        <v>418</v>
      </c>
    </row>
    <row r="23" spans="1:4">
      <c r="A23" s="2">
        <v>22</v>
      </c>
      <c r="B23" t="s">
        <v>378</v>
      </c>
      <c r="C23" t="s">
        <v>387</v>
      </c>
      <c r="D23" t="s">
        <v>419</v>
      </c>
    </row>
    <row r="24" spans="1:4">
      <c r="A24" s="2">
        <v>23</v>
      </c>
      <c r="B24" t="s">
        <v>378</v>
      </c>
      <c r="C24" t="s">
        <v>395</v>
      </c>
      <c r="D24" t="s">
        <v>420</v>
      </c>
    </row>
    <row r="25" spans="1:4">
      <c r="A25" s="2">
        <v>24</v>
      </c>
      <c r="B25" t="s">
        <v>378</v>
      </c>
      <c r="C25" t="s">
        <v>388</v>
      </c>
      <c r="D25" t="s">
        <v>421</v>
      </c>
    </row>
    <row r="26" spans="1:4">
      <c r="A26" s="2">
        <v>25</v>
      </c>
      <c r="B26" t="s">
        <v>379</v>
      </c>
      <c r="C26" t="s">
        <v>396</v>
      </c>
      <c r="D26" t="s">
        <v>422</v>
      </c>
    </row>
    <row r="27" spans="1:4">
      <c r="A27" s="2">
        <v>26</v>
      </c>
      <c r="B27" t="s">
        <v>379</v>
      </c>
      <c r="C27" t="s">
        <v>397</v>
      </c>
      <c r="D27" t="s">
        <v>423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15.7109375" customWidth="1"/>
    <col min="3" max="3" width="50.7109375" customWidth="1"/>
    <col min="4" max="4" width="30.7109375" customWidth="1"/>
  </cols>
  <sheetData>
    <row r="1" spans="1:4">
      <c r="A1" s="2" t="s">
        <v>74</v>
      </c>
      <c r="B1" t="s">
        <v>75</v>
      </c>
      <c r="C1" t="s">
        <v>79</v>
      </c>
      <c r="D1" t="s">
        <v>80</v>
      </c>
    </row>
    <row r="2" spans="1:4">
      <c r="A2" s="2">
        <v>1</v>
      </c>
      <c r="B2" t="s">
        <v>376</v>
      </c>
      <c r="C2">
        <f>SOMA(Vendas!G2:G121)</f>
        <v>0</v>
      </c>
      <c r="D2">
        <v>90000</v>
      </c>
    </row>
    <row r="3" spans="1:4">
      <c r="A3" s="2">
        <v>2</v>
      </c>
      <c r="B3" t="s">
        <v>376</v>
      </c>
      <c r="C3">
        <f>MÉDIA(Vendas!G2:G121)</f>
        <v>0</v>
      </c>
      <c r="D3">
        <v>750</v>
      </c>
    </row>
    <row r="4" spans="1:4">
      <c r="A4" s="2">
        <v>3</v>
      </c>
      <c r="B4" t="s">
        <v>376</v>
      </c>
      <c r="C4">
        <f>MÁXIMO(Vendas!G2:G121)-MÍNIMO(Vendas!G2:G121)</f>
        <v>0</v>
      </c>
      <c r="D4">
        <v>1900</v>
      </c>
    </row>
    <row r="5" spans="1:4">
      <c r="A5" s="2">
        <v>4</v>
      </c>
      <c r="B5" t="s">
        <v>376</v>
      </c>
      <c r="C5">
        <f>CONT.VALORES(Vendas!A2:A121)</f>
        <v>0</v>
      </c>
      <c r="D5">
        <v>120</v>
      </c>
    </row>
    <row r="6" spans="1:4">
      <c r="A6" s="2">
        <v>5</v>
      </c>
      <c r="B6" t="s">
        <v>376</v>
      </c>
      <c r="C6">
        <f>SOMASE(Vendas!B2:B121;"Sul";Vendas!G2:G121)</f>
        <v>0</v>
      </c>
      <c r="D6">
        <v>9000</v>
      </c>
    </row>
    <row r="7" spans="1:4">
      <c r="A7" s="2">
        <v>6</v>
      </c>
      <c r="B7" t="s">
        <v>376</v>
      </c>
      <c r="C7">
        <f>SOMASE(Vendas!C2:C121;"Azure";Vendas!E2:E121)</f>
        <v>0</v>
      </c>
      <c r="D7">
        <v>90</v>
      </c>
    </row>
    <row r="8" spans="1:4">
      <c r="A8" s="2">
        <v>7</v>
      </c>
      <c r="B8" t="s">
        <v>376</v>
      </c>
      <c r="C8">
        <f>CONT.SES(Vendas!D2:D121;"Bruno";Vendas!E2:E121;"&gt;=3")</f>
        <v>0</v>
      </c>
      <c r="D8">
        <v>18</v>
      </c>
    </row>
    <row r="9" spans="1:4">
      <c r="A9" s="2">
        <v>8</v>
      </c>
      <c r="B9" t="s">
        <v>377</v>
      </c>
      <c r="C9">
        <f>PROCV(Vendas!C2;Produtos!$A$2:$H$7;2;FALSO)</f>
        <v>0</v>
      </c>
      <c r="D9" t="s">
        <v>332</v>
      </c>
    </row>
    <row r="10" spans="1:4">
      <c r="A10" s="2">
        <v>9</v>
      </c>
      <c r="B10" t="s">
        <v>377</v>
      </c>
      <c r="C10">
        <f>ÍNDICE(Produtos!$E$2:$E$7;CORRESP(Vendas!C2;Produtos!$A$2:$A$7;0))</f>
        <v>0</v>
      </c>
      <c r="D10">
        <v>130</v>
      </c>
    </row>
    <row r="11" spans="1:4">
      <c r="A11" s="2">
        <v>10</v>
      </c>
      <c r="B11" t="s">
        <v>377</v>
      </c>
      <c r="C11">
        <f>SOMARPRODUTO(Vendas!E2:E121*(Vendas!F2:F121-SOMASE(Produtos!A2:A7;Vendas!C2:C121;Produtos!E2:E7)))</f>
        <v>0</v>
      </c>
      <c r="D11">
        <v>34200</v>
      </c>
    </row>
    <row r="12" spans="1:4">
      <c r="A12" s="2">
        <v>11</v>
      </c>
      <c r="B12" t="s">
        <v>377</v>
      </c>
      <c r="C12">
        <f>SOMASE(Vendas!D2:D121;"Bruno";Vendas!G2:G121)*PROCV("Bruno";Vendedores!A2:H8;7;FALSO)</f>
        <v>0</v>
      </c>
      <c r="D12">
        <v>720</v>
      </c>
    </row>
    <row r="13" spans="1:4">
      <c r="A13" s="2">
        <v>12</v>
      </c>
      <c r="B13" t="s">
        <v>377</v>
      </c>
      <c r="C13">
        <f>PROCV(Vendas!H2;Centro_Custo!$A$2:$E$5;3;FALSO)</f>
        <v>0</v>
      </c>
      <c r="D13" t="s">
        <v>353</v>
      </c>
    </row>
    <row r="14" spans="1:4">
      <c r="A14" s="2">
        <v>13</v>
      </c>
      <c r="B14" t="s">
        <v>377</v>
      </c>
      <c r="C14">
        <f>PROCV(Vendas!I2;Contas_GL!$A$2:$D$5;2;FALSO)</f>
        <v>0</v>
      </c>
      <c r="D14" t="s">
        <v>360</v>
      </c>
    </row>
    <row r="15" spans="1:4">
      <c r="A15" s="2">
        <v>14</v>
      </c>
      <c r="B15" t="s">
        <v>377</v>
      </c>
      <c r="C15">
        <f>SOMASES(Vendas!G2:G121;Vendas!A2:A121;"2026-01*")</f>
        <v>0</v>
      </c>
      <c r="D15">
        <v>15000</v>
      </c>
    </row>
    <row r="16" spans="1:4">
      <c r="A16" s="2">
        <v>15</v>
      </c>
      <c r="B16" t="s">
        <v>377</v>
      </c>
      <c r="C16">
        <f>MÊS(DATA.VALOR(Vendas!A2))</f>
        <v>0</v>
      </c>
      <c r="D16">
        <v>1</v>
      </c>
    </row>
    <row r="17" spans="1:4">
      <c r="A17" s="2">
        <v>16</v>
      </c>
      <c r="B17" t="s">
        <v>377</v>
      </c>
      <c r="C17">
        <f>SEERRO(PROCV("Paulo";Vendedores!A2:H8;7;FALSO);"Não cadastrado")</f>
        <v>0</v>
      </c>
      <c r="D17" t="s">
        <v>426</v>
      </c>
    </row>
    <row r="18" spans="1:4">
      <c r="A18" s="2">
        <v>17</v>
      </c>
      <c r="B18" t="s">
        <v>377</v>
      </c>
      <c r="C18">
        <f>SE(Vendas!G4&gt;=1000;"Alta";SE(Vendas!G4&gt;=500;"Média";"Baixa"))</f>
        <v>0</v>
      </c>
      <c r="D18" t="s">
        <v>427</v>
      </c>
    </row>
    <row r="19" spans="1:4">
      <c r="A19" s="2">
        <v>18</v>
      </c>
      <c r="B19" t="s">
        <v>378</v>
      </c>
      <c r="C19">
        <f>SOMASES(Vendas!G2:G121;Vendas!B2:B121;"Sudeste";Vendas!A2:A121;"2026-01*")/SOMASES(Metas!F2:F25;Metas!B2:B25;"Sudeste";Metas!A2:A25;DATA(2026;1;1))</f>
        <v>0</v>
      </c>
      <c r="D19">
        <v>1.15384615384615</v>
      </c>
    </row>
    <row r="20" spans="1:4">
      <c r="A20" s="2">
        <v>19</v>
      </c>
      <c r="B20" t="s">
        <v>378</v>
      </c>
      <c r="C20">
        <f>PROCV(&lt;resultado do exercício 18&gt;;Faixas_Bonus!A2:C5;2;VERDADEIRO)</f>
        <v>0</v>
      </c>
      <c r="D20">
        <v>0.05</v>
      </c>
    </row>
    <row r="21" spans="1:4">
      <c r="A21" s="2">
        <v>20</v>
      </c>
      <c r="B21" t="s">
        <v>378</v>
      </c>
      <c r="C21">
        <f>SOMASE(Vendas!B2:B121;"Nordeste";Vendas!G2:G121)/SOMA(Vendas!G2:G121)</f>
        <v>0</v>
      </c>
      <c r="D21">
        <v>0.4</v>
      </c>
    </row>
    <row r="22" spans="1:4">
      <c r="A22" s="2">
        <v>21</v>
      </c>
      <c r="B22" t="s">
        <v>378</v>
      </c>
      <c r="C22">
        <f>SOMARPRODUTO(SOMASE(Vendas!C2:C121;Produtos!A2:A7;Vendas!G2:G121)*(Produtos!B2:B7="Produtividade"))</f>
        <v>0</v>
      </c>
      <c r="D22">
        <v>36000</v>
      </c>
    </row>
    <row r="23" spans="1:4">
      <c r="A23" s="2">
        <v>22</v>
      </c>
      <c r="B23" t="s">
        <v>378</v>
      </c>
      <c r="C23">
        <f>1+SOMARPRODUTO(--(SOMASE(Vendas!D2:D121;Vendedores!A2:A8;Vendas!G2:G121)&gt;SOMASE(Vendas!D2:D121;"Bruno";Vendas!G2:G121)))</f>
        <v>0</v>
      </c>
      <c r="D23">
        <v>3</v>
      </c>
    </row>
    <row r="24" spans="1:4">
      <c r="A24" s="2">
        <v>23</v>
      </c>
      <c r="B24" t="s">
        <v>378</v>
      </c>
      <c r="C24">
        <f>DIATRABALHOTOTAL(DATA(2026;1;1);DATA(2026;1;31);Feriados!A2:A8)</f>
        <v>0</v>
      </c>
      <c r="D24">
        <v>21</v>
      </c>
    </row>
    <row r="25" spans="1:4">
      <c r="A25" s="2">
        <v>24</v>
      </c>
      <c r="B25" t="s">
        <v>378</v>
      </c>
      <c r="C25">
        <f>SOMASE(Vendas!H2:H121;"CC200";Vendas!G2:G121)/PROCV("CC200";Centro_Custo!A2:E5;5;FALSO)</f>
        <v>0</v>
      </c>
      <c r="D25">
        <v>1.08</v>
      </c>
    </row>
    <row r="26" spans="1:4">
      <c r="A26" s="2">
        <v>25</v>
      </c>
      <c r="B26" t="s">
        <v>379</v>
      </c>
      <c r="C26" t="s">
        <v>424</v>
      </c>
      <c r="D26" t="s">
        <v>428</v>
      </c>
    </row>
    <row r="27" spans="1:4">
      <c r="A27" s="2">
        <v>26</v>
      </c>
      <c r="B27" t="s">
        <v>379</v>
      </c>
      <c r="C27" t="s">
        <v>425</v>
      </c>
      <c r="D27" t="s">
        <v>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Catalogo_Colunas</vt:lpstr>
      <vt:lpstr>Qualidade_Dados</vt:lpstr>
      <vt:lpstr>Historico</vt:lpstr>
      <vt:lpstr>Dataset_Financas_Complementar_L</vt:lpstr>
      <vt:lpstr>Dataset_Financas_Complementar_V</vt:lpstr>
      <vt:lpstr>Dataset_Financas_Complementar_1</vt:lpstr>
      <vt:lpstr>Dataset_Financas_Complementar_P</vt:lpstr>
      <vt:lpstr>Dataset_Financas_Complementar_2</vt:lpstr>
      <vt:lpstr>Dataset_Financas_Complementar_C</vt:lpstr>
      <vt:lpstr>Dataset_Financas_Complementar_3</vt:lpstr>
      <vt:lpstr>Dataset_Financas_Complementar_M</vt:lpstr>
      <vt:lpstr>Dataset_Financas_Complementar_F</vt:lpstr>
      <vt:lpstr>Dataset_Financas_Complementar_4</vt:lpstr>
      <vt:lpstr>Dataset_Financas_Complementar_E</vt:lpstr>
      <vt:lpstr>Dataset_Financas_Complementar_G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2026-09-25T14:00:52Z</dcterms:created>
  <dcterms:modified xsi:type="dcterms:W3CDTF">2026-09-25T14:00:52Z</dcterms:modified>
</cp:coreProperties>
</file>