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Vendas" sheetId="2" state="visible" r:id="rId4"/>
    <sheet name="Produtos" sheetId="3" state="visible" r:id="rId5"/>
    <sheet name="Vendedores" sheetId="4" state="visible" r:id="rId6"/>
    <sheet name="Centro_Custo" sheetId="5" state="visible" r:id="rId7"/>
    <sheet name="Contas_GL" sheetId="6" state="visible" r:id="rId8"/>
    <sheet name="Metas" sheetId="7" state="visible" r:id="rId9"/>
    <sheet name="Feriados" sheetId="8" state="visible" r:id="rId10"/>
    <sheet name="Faixas_Bonus" sheetId="9" state="visible" r:id="rId11"/>
    <sheet name="Exercicios" sheetId="10" state="visible" r:id="rId12"/>
    <sheet name="Gabarit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<sst xmlns="http://schemas.openxmlformats.org/spreadsheetml/2006/main" count="1113" uniqueCount="350">
  <si>
    <t xml:space="preserve">Dataset de Treinamento de Excel — Finanças (complementar)</t>
  </si>
  <si>
    <t xml:space="preserve">Todos os dados são fictícios. A aba Vendas é o dataset original, sem alterações; as demais abas complementam ela.</t>
  </si>
  <si>
    <t xml:space="preserve">Aba</t>
  </si>
  <si>
    <t xml:space="preserve">Conteúdo</t>
  </si>
  <si>
    <t xml:space="preserve">Chave de ligação com Vendas</t>
  </si>
  <si>
    <t xml:space="preserve">Vendas</t>
  </si>
  <si>
    <t xml:space="preserve">Dataset original (120 vendas, jan–jun/2026). Tabela tblVendas.</t>
  </si>
  <si>
    <t xml:space="preserve">—</t>
  </si>
  <si>
    <t xml:space="preserve">Produtos</t>
  </si>
  <si>
    <t xml:space="preserve">Categoria, fornecedor, preço de lista, custo, margem, lançamento, ativo.</t>
  </si>
  <si>
    <t xml:space="preserve">Produto (Vendas!C)</t>
  </si>
  <si>
    <t xml:space="preserve">Vendedores</t>
  </si>
  <si>
    <t xml:space="preserve">Região, gerente, cargo, admissão, % de comissão, salário base.</t>
  </si>
  <si>
    <t xml:space="preserve">Vendedor (Vendas!D)</t>
  </si>
  <si>
    <t xml:space="preserve">Centro_Custo</t>
  </si>
  <si>
    <t xml:space="preserve">Descrição, área, responsável e meta de receita semestral por Cost Center.</t>
  </si>
  <si>
    <t xml:space="preserve">Cost Center (Vendas!H)</t>
  </si>
  <si>
    <t xml:space="preserve">Contas_GL</t>
  </si>
  <si>
    <t xml:space="preserve">Descrição, tipo e natureza das contas contábeis. GL guardado como TEXTO.</t>
  </si>
  <si>
    <t xml:space="preserve">GL (Vendas!I)</t>
  </si>
  <si>
    <t xml:space="preserve">Metas</t>
  </si>
  <si>
    <t xml:space="preserve">Meta mensal de quantidade e valor por região/produto (jan–jun/2026).</t>
  </si>
  <si>
    <t xml:space="preserve">Regiao + Produto + mês (Vendas!A, B, C)</t>
  </si>
  <si>
    <t xml:space="preserve">Feriados</t>
  </si>
  <si>
    <t xml:space="preserve">Feriados nacionais/pontos facultativos do 1º semestre de 2026.</t>
  </si>
  <si>
    <t xml:space="preserve">Data (para dias úteis)</t>
  </si>
  <si>
    <t xml:space="preserve">Faixas_Bonus</t>
  </si>
  <si>
    <t xml:space="preserve">Tabela de faixas de atingimento x bônus, feita para busca aproximada.</t>
  </si>
  <si>
    <t xml:space="preserve">Atingimento de meta</t>
  </si>
  <si>
    <t xml:space="preserve">Exercicios</t>
  </si>
  <si>
    <t xml:space="preserve">26 exercícios do básico ao avançado, com célula amarela para sua resposta.</t>
  </si>
  <si>
    <t xml:space="preserve">Gabarito</t>
  </si>
  <si>
    <t xml:space="preserve">Fórmula em PT-BR (texto) e resultado calculado ao vivo de cada exercício.</t>
  </si>
  <si>
    <t xml:space="preserve">Pegadinhas propositais</t>
  </si>
  <si>
    <t xml:space="preserve">•</t>
  </si>
  <si>
    <t xml:space="preserve">Vendas!Data está em TEXTO (aaaa-mm-dd), não é data real. Use DATA.VALOR ou curingas para trabalhar com ela.</t>
  </si>
  <si>
    <t xml:space="preserve">Vendas!GL é TEXTO. Contas_GL!GL também é texto para o PROCV funcionar; se um lado virar número, dá #N/D.</t>
  </si>
  <si>
    <t xml:space="preserve">Há itens sem vendas (Diego, Fernanda, Marcos; Teams, Dynamics 365; CC400; GL 610004): bom para testar SEERRO e contagens zeradas.</t>
  </si>
  <si>
    <t xml:space="preserve">As abas novas são Tabelas do Excel (tblProdutos, tblVendedores, tblMetas...). Dá para usar referências estruturadas.</t>
  </si>
  <si>
    <t xml:space="preserve">As fórmulas do Gabarito estão no Excel em português; internamente o arquivo funciona em qualquer idioma.</t>
  </si>
  <si>
    <t xml:space="preserve">Legenda</t>
  </si>
  <si>
    <t xml:space="preserve">Célula amarela</t>
  </si>
  <si>
    <t xml:space="preserve">Onde você escreve sua resposta (aba Exercicios).</t>
  </si>
  <si>
    <t xml:space="preserve">Data</t>
  </si>
  <si>
    <t xml:space="preserve">Regiao</t>
  </si>
  <si>
    <t xml:space="preserve">Produto</t>
  </si>
  <si>
    <t xml:space="preserve">Vendedor</t>
  </si>
  <si>
    <t xml:space="preserve">Quantidade</t>
  </si>
  <si>
    <t xml:space="preserve">Valor_Unitario</t>
  </si>
  <si>
    <t xml:space="preserve">Valor_Total</t>
  </si>
  <si>
    <t xml:space="preserve">Cost Center</t>
  </si>
  <si>
    <t xml:space="preserve">GL</t>
  </si>
  <si>
    <t xml:space="preserve">2026-01-02</t>
  </si>
  <si>
    <t xml:space="preserve">Sudeste</t>
  </si>
  <si>
    <t xml:space="preserve">Copilot</t>
  </si>
  <si>
    <t xml:space="preserve">Bruno</t>
  </si>
  <si>
    <t xml:space="preserve">CC200</t>
  </si>
  <si>
    <t xml:space="preserve">610002</t>
  </si>
  <si>
    <t xml:space="preserve">2026-01-03</t>
  </si>
  <si>
    <t xml:space="preserve">Norte</t>
  </si>
  <si>
    <t xml:space="preserve">Azure</t>
  </si>
  <si>
    <t xml:space="preserve">Carlos</t>
  </si>
  <si>
    <t xml:space="preserve">CC300</t>
  </si>
  <si>
    <t xml:space="preserve">610003</t>
  </si>
  <si>
    <t xml:space="preserve">2026-01-04</t>
  </si>
  <si>
    <t xml:space="preserve">Nordeste</t>
  </si>
  <si>
    <t xml:space="preserve">Office 365</t>
  </si>
  <si>
    <t xml:space="preserve">Julia</t>
  </si>
  <si>
    <t xml:space="preserve">CC100</t>
  </si>
  <si>
    <t xml:space="preserve">610001</t>
  </si>
  <si>
    <t xml:space="preserve">2026-01-05</t>
  </si>
  <si>
    <t xml:space="preserve">Sul</t>
  </si>
  <si>
    <t xml:space="preserve">Power BI</t>
  </si>
  <si>
    <t xml:space="preserve">Ana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</si>
  <si>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</si>
  <si>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</si>
  <si>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</si>
  <si>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</si>
  <si>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</si>
  <si>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</si>
  <si>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</si>
  <si>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</si>
  <si>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</si>
  <si>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</si>
  <si>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</si>
  <si>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</si>
  <si>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</si>
  <si>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</si>
  <si>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</si>
  <si>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</si>
  <si>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</si>
  <si>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</si>
  <si>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</si>
  <si>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</si>
  <si>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</si>
  <si>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</si>
  <si>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</si>
  <si>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</si>
  <si>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</si>
  <si>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</si>
  <si>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</si>
  <si>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</si>
  <si>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</si>
  <si>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</si>
  <si>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</si>
  <si>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</si>
  <si>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</si>
  <si>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</si>
  <si>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</si>
  <si>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</si>
  <si>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</si>
  <si>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</si>
  <si>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</si>
  <si>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</si>
  <si>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</si>
  <si>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</si>
  <si>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</si>
  <si>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</si>
  <si>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</si>
  <si>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</si>
  <si>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</si>
  <si>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</si>
  <si>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</si>
  <si>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</si>
  <si>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</si>
  <si>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</si>
  <si>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</si>
  <si>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</si>
  <si>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</si>
  <si>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</si>
  <si>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</si>
  <si>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</si>
  <si>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</si>
  <si>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</si>
  <si>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</si>
  <si>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</si>
  <si>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</si>
  <si>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</si>
  <si>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</si>
  <si>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</si>
  <si>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</si>
  <si>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</si>
  <si>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</si>
  <si>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</si>
  <si>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</si>
  <si>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</si>
  <si>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</si>
  <si>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</si>
  <si>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</si>
  <si>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</si>
  <si>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</si>
  <si>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</si>
  <si>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</si>
  <si>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</si>
  <si>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</si>
  <si>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</si>
  <si>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</si>
  <si>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</si>
  <si>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</si>
  <si>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</si>
  <si>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</si>
  <si>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</si>
  <si>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</si>
  <si>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</si>
  <si>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</si>
  <si>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</si>
  <si>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</si>
  <si>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</si>
  <si>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</si>
  <si>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</si>
  <si>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</si>
  <si>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</si>
  <si>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</si>
  <si>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</si>
  <si>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</si>
  <si>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</si>
  <si>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</si>
  <si>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</si>
  <si>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</si>
  <si>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</si>
  <si>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</si>
  <si>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</si>
  <si>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</si>
  <si>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</si>
  <si>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</si>
  <si>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</si>
  <si>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</si>
  <si>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</si>
  <si>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</si>
  <si>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</si>
  <si>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Categoria</t>
  </si>
  <si>
    <t xml:space="preserve">Fornecedor</t>
  </si>
  <si>
    <t xml:space="preserve">Preco_Lista</t>
  </si>
  <si>
    <t xml:space="preserve">Custo_Unitario</t>
  </si>
  <si>
    <t xml:space="preserve">Margem_Pct</t>
  </si>
  <si>
    <t xml:space="preserve">Data_Lancamento</t>
  </si>
  <si>
    <t xml:space="preserve">Ativo</t>
  </si>
  <si>
    <t xml:space="preserve">IA</t>
  </si>
  <si>
    <t xml:space="preserve">Microsoft</t>
  </si>
  <si>
    <t xml:space="preserve">Sim</t>
  </si>
  <si>
    <t xml:space="preserve">Nuvem</t>
  </si>
  <si>
    <t xml:space="preserve">Produtividade</t>
  </si>
  <si>
    <t xml:space="preserve">Analytics</t>
  </si>
  <si>
    <t xml:space="preserve">Teams</t>
  </si>
  <si>
    <t xml:space="preserve">Dynamics 365</t>
  </si>
  <si>
    <t xml:space="preserve">ERP/CRM</t>
  </si>
  <si>
    <t xml:space="preserve">Não</t>
  </si>
  <si>
    <t xml:space="preserve">Produto_Foco</t>
  </si>
  <si>
    <t xml:space="preserve">Gerente</t>
  </si>
  <si>
    <t xml:space="preserve">Cargo</t>
  </si>
  <si>
    <t xml:space="preserve">Data_Admissao</t>
  </si>
  <si>
    <t xml:space="preserve">Comissao_Pct</t>
  </si>
  <si>
    <t xml:space="preserve">Salario_Base</t>
  </si>
  <si>
    <t xml:space="preserve">Renata Alves</t>
  </si>
  <si>
    <t xml:space="preserve">Executivo de Contas Sr</t>
  </si>
  <si>
    <t xml:space="preserve">Marcelo Tavares</t>
  </si>
  <si>
    <t xml:space="preserve">Executivo de Contas Pl</t>
  </si>
  <si>
    <t xml:space="preserve">Executivo de Contas Jr</t>
  </si>
  <si>
    <t xml:space="preserve">Diego</t>
  </si>
  <si>
    <t xml:space="preserve">Fernanda</t>
  </si>
  <si>
    <t xml:space="preserve">Marcos</t>
  </si>
  <si>
    <t xml:space="preserve">Descricao</t>
  </si>
  <si>
    <t xml:space="preserve">Area</t>
  </si>
  <si>
    <t xml:space="preserve">Responsavel</t>
  </si>
  <si>
    <t xml:space="preserve">Meta_Receita_Semestre</t>
  </si>
  <si>
    <t xml:space="preserve">Vendas Corporativas</t>
  </si>
  <si>
    <t xml:space="preserve">Comercial</t>
  </si>
  <si>
    <t xml:space="preserve">Patricia Lima</t>
  </si>
  <si>
    <t xml:space="preserve">Vendas Varejo</t>
  </si>
  <si>
    <t xml:space="preserve">Rodrigo Nunes</t>
  </si>
  <si>
    <t xml:space="preserve">Canais e Parcerias</t>
  </si>
  <si>
    <t xml:space="preserve">Beatriz Souza</t>
  </si>
  <si>
    <t xml:space="preserve">CC400</t>
  </si>
  <si>
    <t xml:space="preserve">Marketing de Produto</t>
  </si>
  <si>
    <t xml:space="preserve">Marketing</t>
  </si>
  <si>
    <t xml:space="preserve">Andre Costa</t>
  </si>
  <si>
    <t xml:space="preserve">Descricao_GL</t>
  </si>
  <si>
    <t xml:space="preserve">Tipo_Conta</t>
  </si>
  <si>
    <t xml:space="preserve">Natureza</t>
  </si>
  <si>
    <t xml:space="preserve">Receita de Licenciamento</t>
  </si>
  <si>
    <t xml:space="preserve">Receita</t>
  </si>
  <si>
    <t xml:space="preserve">Credora</t>
  </si>
  <si>
    <t xml:space="preserve">Receita de Serviços em Nuvem</t>
  </si>
  <si>
    <t xml:space="preserve">Receita de Assinaturas</t>
  </si>
  <si>
    <t xml:space="preserve">610004</t>
  </si>
  <si>
    <t xml:space="preserve">Receita de Suporte Técnico</t>
  </si>
  <si>
    <t xml:space="preserve">Mes</t>
  </si>
  <si>
    <t xml:space="preserve">Meta_Quantidade</t>
  </si>
  <si>
    <t xml:space="preserve">Meta_Valor</t>
  </si>
  <si>
    <t xml:space="preserve">Feriado</t>
  </si>
  <si>
    <t xml:space="preserve">Tipo</t>
  </si>
  <si>
    <t xml:space="preserve">Confraternização Universal</t>
  </si>
  <si>
    <t xml:space="preserve">Nacional</t>
  </si>
  <si>
    <t xml:space="preserve">Carnaval (segunda)</t>
  </si>
  <si>
    <t xml:space="preserve">Ponto facultativo</t>
  </si>
  <si>
    <t xml:space="preserve">Carnaval (terça)</t>
  </si>
  <si>
    <t xml:space="preserve">Sexta-feira Santa</t>
  </si>
  <si>
    <t xml:space="preserve">Tiradentes</t>
  </si>
  <si>
    <t xml:space="preserve">Dia do Trabalho</t>
  </si>
  <si>
    <t xml:space="preserve">Corpus Christi</t>
  </si>
  <si>
    <t xml:space="preserve">Atingimento_Min</t>
  </si>
  <si>
    <t xml:space="preserve">Bonus_Pct</t>
  </si>
  <si>
    <t xml:space="preserve">Classificacao</t>
  </si>
  <si>
    <t xml:space="preserve">Abaixo da meta</t>
  </si>
  <si>
    <t xml:space="preserve">Próximo da meta</t>
  </si>
  <si>
    <t xml:space="preserve">Meta batida</t>
  </si>
  <si>
    <t xml:space="preserve">Superou a meta</t>
  </si>
  <si>
    <t xml:space="preserve">Nº</t>
  </si>
  <si>
    <t xml:space="preserve">Nível</t>
  </si>
  <si>
    <t xml:space="preserve">Funções-chave</t>
  </si>
  <si>
    <t xml:space="preserve">Enunciado</t>
  </si>
  <si>
    <t xml:space="preserve">Sua resposta</t>
  </si>
  <si>
    <t xml:space="preserve">Básico</t>
  </si>
  <si>
    <t xml:space="preserve">SOMA</t>
  </si>
  <si>
    <t xml:space="preserve">Calcule o valor total vendido (soma de Valor_Total).</t>
  </si>
  <si>
    <t xml:space="preserve">MÉDIA</t>
  </si>
  <si>
    <t xml:space="preserve">Qual o valor médio (ticket médio) por venda registrada?</t>
  </si>
  <si>
    <t xml:space="preserve">MÁXIMO, MÍNIMO</t>
  </si>
  <si>
    <t xml:space="preserve">Calcule a amplitude das vendas: maior Valor_Total menos o menor.</t>
  </si>
  <si>
    <t xml:space="preserve">CONT.VALORES</t>
  </si>
  <si>
    <t xml:space="preserve">Quantas vendas (linhas) estão registradas na aba Vendas?</t>
  </si>
  <si>
    <t xml:space="preserve">SOMASE</t>
  </si>
  <si>
    <t xml:space="preserve">Qual o valor total vendido na região Sul?</t>
  </si>
  <si>
    <t xml:space="preserve">Qual a quantidade total vendida do produto Azure?</t>
  </si>
  <si>
    <t xml:space="preserve">CONT.SES</t>
  </si>
  <si>
    <t xml:space="preserve">Quantas vendas o Bruno fez com Quantidade maior ou igual a 3?</t>
  </si>
  <si>
    <t xml:space="preserve">Intermediário</t>
  </si>
  <si>
    <t xml:space="preserve">PROCV</t>
  </si>
  <si>
    <t xml:space="preserve">Traga a Categoria do produto da venda da linha 2 (aba Produtos).</t>
  </si>
  <si>
    <t xml:space="preserve">ÍNDICE, CORRESP</t>
  </si>
  <si>
    <t xml:space="preserve">Traga o Custo_Unitario do produto da linha 2, usando ÍNDICE + CORRESP (sem PROCV).</t>
  </si>
  <si>
    <t xml:space="preserve">SOMARPRODUTO, SOMASE</t>
  </si>
  <si>
    <t xml:space="preserve">Calcule o lucro bruto total: soma de Quantidade × (Valor_Unitario − Custo_Unitario), buscando o custo na aba Produtos.</t>
  </si>
  <si>
    <t xml:space="preserve">SOMASE, PROCV</t>
  </si>
  <si>
    <t xml:space="preserve">Calcule a comissão devida ao Bruno: total vendido por ele × Comissao_Pct da aba Vendedores.</t>
  </si>
  <si>
    <t xml:space="preserve">Traga a Area do Cost Center da venda da linha 2 (aba Centro_Custo).</t>
  </si>
  <si>
    <t xml:space="preserve">Traga a Descricao_GL da conta GL da venda da linha 2. Atenção ao tipo do dado (texto x número).</t>
  </si>
  <si>
    <t xml:space="preserve">SOMASES, curinga</t>
  </si>
  <si>
    <t xml:space="preserve">Qual o total vendido em janeiro/2026? (a coluna Data está em texto: use o curinga *).</t>
  </si>
  <si>
    <t xml:space="preserve">DATA.VALOR, MÊS</t>
  </si>
  <si>
    <t xml:space="preserve">Converta a Data em texto da linha 2 para data real e extraia o número do mês.</t>
  </si>
  <si>
    <t xml:space="preserve">SEERRO, PROCV</t>
  </si>
  <si>
    <t xml:space="preserve">Busque a comissão do vendedor "Paulo". Se não estiver cadastrado, mostre "Não cadastrado" em vez de #N/D.</t>
  </si>
  <si>
    <t xml:space="preserve">SE (aninhado)</t>
  </si>
  <si>
    <t xml:space="preserve">Classifique a venda da linha 4: "Alta" se Valor_Total ≥ 1000, "Média" se ≥ 500, senão "Baixa".</t>
  </si>
  <si>
    <t xml:space="preserve">Avançado</t>
  </si>
  <si>
    <t xml:space="preserve">SOMASES, DATA</t>
  </si>
  <si>
    <t xml:space="preserve">Calcule o atingimento da meta de janeiro/2026 na região Sudeste: realizado (Vendas) ÷ Meta_Valor (aba Metas).</t>
  </si>
  <si>
    <t xml:space="preserve">PROCV (aproximado)</t>
  </si>
  <si>
    <t xml:space="preserve">Use o atingimento do exercício anterior para buscar o Bonus_Pct na aba Faixas_Bonus (correspondência aproximada).</t>
  </si>
  <si>
    <t xml:space="preserve">Qual a participação (%) da região Nordeste no total vendido?</t>
  </si>
  <si>
    <t xml:space="preserve">Qual o faturamento total dos produtos da categoria "Produtividade"? (a categoria está na aba Produtos, não em Vendas).</t>
  </si>
  <si>
    <t xml:space="preserve">Qual a posição (ranking) do Bruno entre todos os vendedores da aba Vendedores por total vendido? (1 = maior).</t>
  </si>
  <si>
    <t xml:space="preserve">DIATRABALHOTOTAL</t>
  </si>
  <si>
    <t xml:space="preserve">Quantos dias úteis tem janeiro/2026, descontando os feriados da aba Feriados?</t>
  </si>
  <si>
    <t xml:space="preserve">Qual o % da Meta_Receita_Semestre do CC200 que foi atingido pela receita alocada a esse Cost Center?</t>
  </si>
  <si>
    <t xml:space="preserve">Prática</t>
  </si>
  <si>
    <t xml:space="preserve">Tabela Dinâmica</t>
  </si>
  <si>
    <t xml:space="preserve">Crie uma Tabela Dinâmica com Regiao nas linhas, o mês nas colunas (agrupe a data) e Soma de Valor_Total nos valores. Adicione uma Segmentação de Dados por Produto. (Dica: converta a Data em data real antes.)</t>
  </si>
  <si>
    <t xml:space="preserve">Formatação Condicional</t>
  </si>
  <si>
    <t xml:space="preserve">Na aba Metas, destaque em vermelho as linhas de Meta_Valor abaixo da média e em verde as acima. Depois, adicione barras de dados em Meta_Quantidade.</t>
  </si>
  <si>
    <t xml:space="preserve">Fórmula (Excel PT-BR)</t>
  </si>
  <si>
    <t xml:space="preserve">Resultado</t>
  </si>
  <si>
    <t xml:space="preserve">=SOMA(Vendas!G2:G121)</t>
  </si>
  <si>
    <t xml:space="preserve">=MÉDIA(Vendas!G2:G121)</t>
  </si>
  <si>
    <t xml:space="preserve">=MÁXIMO(Vendas!G2:G121)-MÍNIMO(Vendas!G2:G121)</t>
  </si>
  <si>
    <t xml:space="preserve">=CONT.VALORES(Vendas!A2:A121)</t>
  </si>
  <si>
    <t xml:space="preserve">=SOMASE(Vendas!B2:B121;"Sul";Vendas!G2:G121)</t>
  </si>
  <si>
    <t xml:space="preserve">=SOMASE(Vendas!C2:C121;"Azure";Vendas!E2:E121)</t>
  </si>
  <si>
    <t xml:space="preserve">=CONT.SES(Vendas!D2:D121;"Bruno";Vendas!E2:E121;"&gt;=3")</t>
  </si>
  <si>
    <t xml:space="preserve">=PROCV(Vendas!C2;Produtos!$A$2:$H$7;2;FALSO)</t>
  </si>
  <si>
    <t xml:space="preserve">=ÍNDICE(Produtos!$E$2:$E$7;CORRESP(Vendas!C2;Produtos!$A$2:$A$7;0))</t>
  </si>
  <si>
    <t xml:space="preserve">=SOMARPRODUTO(Vendas!E2:E121*(Vendas!F2:F121-SOMASE(Produtos!A2:A7;Vendas!C2:C121;Produtos!E2:E7)))</t>
  </si>
  <si>
    <t xml:space="preserve">=SOMASE(Vendas!D2:D121;"Bruno";Vendas!G2:G121)*PROCV("Bruno";Vendedores!A2:H8;7;FALSO)</t>
  </si>
  <si>
    <t xml:space="preserve">=PROCV(Vendas!H2;Centro_Custo!$A$2:$E$5;3;FALSO)</t>
  </si>
  <si>
    <t xml:space="preserve">=PROCV(Vendas!I2;Contas_GL!$A$2:$D$5;2;FALSO)</t>
  </si>
  <si>
    <t xml:space="preserve">=SOMASES(Vendas!G2:G121;Vendas!A2:A121;"2026-01*")</t>
  </si>
  <si>
    <t xml:space="preserve">=MÊS(DATA.VALOR(Vendas!A2))</t>
  </si>
  <si>
    <t xml:space="preserve">=SEERRO(PROCV("Paulo";Vendedores!A2:H8;7;FALSO);"Não cadastrado")</t>
  </si>
  <si>
    <t xml:space="preserve">=SE(Vendas!G4&gt;=1000;"Alta";SE(Vendas!G4&gt;=500;"Média";"Baixa"))</t>
  </si>
  <si>
    <t xml:space="preserve">=SOMASES(Vendas!G2:G121;Vendas!B2:B121;"Sudeste";Vendas!A2:A121;"2026-01*")/SOMASES(Metas!F2:F25;Metas!B2:B25;"Sudeste";Metas!A2:A25;DATA(2026;1;1))</t>
  </si>
  <si>
    <t xml:space="preserve">=PROCV(&lt;resultado do exercício 18&gt;;Faixas_Bonus!A2:C5;2;VERDADEIRO)</t>
  </si>
  <si>
    <t xml:space="preserve">=SOMASE(Vendas!B2:B121;"Nordeste";Vendas!G2:G121)/SOMA(Vendas!G2:G121)</t>
  </si>
  <si>
    <t xml:space="preserve">=SOMARPRODUTO(SOMASE(Vendas!C2:C121;Produtos!A2:A7;Vendas!G2:G121)*(Produtos!B2:B7="Produtividade"))</t>
  </si>
  <si>
    <t xml:space="preserve">=1+SOMARPRODUTO(--(SOMASE(Vendas!D2:D121;Vendedores!A2:A8;Vendas!G2:G121)&gt;SOMASE(Vendas!D2:D121;"Bruno";Vendas!G2:G121)))</t>
  </si>
  <si>
    <t xml:space="preserve">=DIATRABALHOTOTAL(DATA(2026;1;1);DATA(2026;1;31);Feriados!A2:A8)</t>
  </si>
  <si>
    <t xml:space="preserve">=SOMASE(Vendas!H2:H121;"CC200";Vendas!G2:G121)/PROCV("CC200";Centro_Custo!A2:E5;5;FALSO)</t>
  </si>
  <si>
    <t xml:space="preserve">Inserir &gt; Tabela Dinâmica &gt; origem: tblVendas. Arraste Regiao para Linhas e Valor_Total para Valores.</t>
  </si>
  <si>
    <t xml:space="preserve">(prática – sem fórmula)</t>
  </si>
  <si>
    <t xml:space="preserve">Página Inicial &gt; Formatação Condicional &gt; Regras de Primeiros/Últimos &gt; Acima/Abaixo da Média.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</si>
</sst>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0.0%"/>
    <numFmt numFmtId="167" formatCode="dd/mm/yyyy"/>
    <numFmt numFmtId="168" formatCode="@"/>
    <numFmt numFmtId="169" formatCode="mmm/yyyy"/>
    <numFmt numFmtId="170" formatCode="0%"/>
    <numFmt numFmtId="171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4E7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entroCusto" displayName="tblCentroCusto" ref="A1:E5" headerRowCount="1" totalsRowCount="0" totalsRowShown="0">
  <autoFilter ref="A1:E5"/>
  <tableColumns count="5">
    <tableColumn id="1" name="Cost Center"/>
    <tableColumn id="2" name="Descricao"/>
    <tableColumn id="3" name="Area"/>
    <tableColumn id="4" name="Responsavel"/>
    <tableColumn id="5" name="Meta_Receita_Semestre"/>
  </tableColumns>
</table>
</file>

<file path=xl/tables/table2.xml><?xml version="1.0" encoding="utf-8"?>
<table xmlns="http://schemas.openxmlformats.org/spreadsheetml/2006/main" id="2" name="tblContasGL" displayName="tblContasGL" ref="A1:D5" headerRowCount="1" totalsRowCount="0" totalsRowShown="0">
  <autoFilter ref="A1:D5"/>
  <tableColumns count="4">
    <tableColumn id="1" name="GL"/>
    <tableColumn id="2" name="Descricao_GL"/>
    <tableColumn id="3" name="Tipo_Conta"/>
    <tableColumn id="4" name="Natureza"/>
  </tableColumns>
</table>
</file>

<file path=xl/tables/table3.xml><?xml version="1.0" encoding="utf-8"?>
<table xmlns="http://schemas.openxmlformats.org/spreadsheetml/2006/main" id="3" name="tblFaixasBonus" displayName="tblFaixasBonus" ref="A1:C5" headerRowCount="1" totalsRowCount="0" totalsRowShown="0">
  <autoFilter ref="A1:C5"/>
  <tableColumns count="3">
    <tableColumn id="1" name="Atingimento_Min"/>
    <tableColumn id="2" name="Bonus_Pct"/>
    <tableColumn id="3" name="Classificacao"/>
  </tableColumns>
</table>
</file>

<file path=xl/tables/table4.xml><?xml version="1.0" encoding="utf-8"?>
<table xmlns="http://schemas.openxmlformats.org/spreadsheetml/2006/main" id="4" name="tblFeriados" displayName="tblFeriados" ref="A1:C8" headerRowCount="1" totalsRowCount="0" totalsRowShown="0">
  <autoFilter ref="A1:C8"/>
  <tableColumns count="3">
    <tableColumn id="1" name="Data"/>
    <tableColumn id="2" name="Feriado"/>
    <tableColumn id="3" name="Tipo"/>
  </tableColumns>
</table>
</file>

<file path=xl/tables/table5.xml><?xml version="1.0" encoding="utf-8"?>
<table xmlns="http://schemas.openxmlformats.org/spreadsheetml/2006/main" id="5" name="tblMetas" displayName="tblMetas" ref="A1:F25" headerRowCount="1" totalsRowCount="0" totalsRowShown="0">
  <autoFilter ref="A1:F25"/>
  <tableColumns count="6">
    <tableColumn id="1" name="Mes"/>
    <tableColumn id="2" name="Regiao"/>
    <tableColumn id="3" name="Produto"/>
    <tableColumn id="4" name="Meta_Quantidade"/>
    <tableColumn id="5" name="Preco_Lista"/>
    <tableColumn id="6" name="Meta_Valor"/>
  </tableColumns>
</table>
</file>

<file path=xl/tables/table6.xml><?xml version="1.0" encoding="utf-8"?>
<table xmlns="http://schemas.openxmlformats.org/spreadsheetml/2006/main" id="6" name="tblProdutos" displayName="tblProdutos" ref="A1:H7" headerRowCount="1" totalsRowCount="0" totalsRowShown="0">
  <autoFilter ref="A1:H7"/>
  <tableColumns count="8">
    <tableColumn id="1" name="Produto"/>
    <tableColumn id="2" name="Categoria"/>
    <tableColumn id="3" name="Fornecedor"/>
    <tableColumn id="4" name="Preco_Lista"/>
    <tableColumn id="5" name="Custo_Unitario"/>
    <tableColumn id="6" name="Margem_Pct"/>
    <tableColumn id="7" name="Data_Lancamento"/>
    <tableColumn id="8" name="Ativo"/>
  </tableColumns>
</table>
</file>

<file path=xl/tables/table7.xml><?xml version="1.0" encoding="utf-8"?>
<table xmlns="http://schemas.openxmlformats.org/spreadsheetml/2006/main" id="7" name="tblVendas" displayName="tblVendas" ref="A1:I121" headerRowCount="1" totalsRowCount="0" totalsRowShown="0">
  <autoFilter ref="A1:I121"/>
  <tableColumns count="9">
    <tableColumn id="1" name="Data"/>
    <tableColumn id="2" name="Regiao"/>
    <tableColumn id="3" name="Produto"/>
    <tableColumn id="4" name="Vendedor"/>
    <tableColumn id="5" name="Quantidade"/>
    <tableColumn id="6" name="Valor_Unitario"/>
    <tableColumn id="7" name="Valor_Total"/>
    <tableColumn id="8" name="Cost Center"/>
    <tableColumn id="9" name="GL"/>
  </tableColumns>
</table>
</file>

<file path=xl/tables/table8.xml><?xml version="1.0" encoding="utf-8"?>
<table xmlns="http://schemas.openxmlformats.org/spreadsheetml/2006/main" id="8" name="tblVendedores" displayName="tblVendedores" ref="A1:H8" headerRowCount="1" totalsRowCount="0" totalsRowShown="0">
  <autoFilter ref="A1:H8"/>
  <tableColumns count="8">
    <tableColumn id="1" name="Vendedor"/>
    <tableColumn id="2" name="Regiao"/>
    <tableColumn id="3" name="Produto_Foco"/>
    <tableColumn id="4" name="Gerente"/>
    <tableColumn id="5" name="Cargo"/>
    <tableColumn id="6" name="Data_Admissao"/>
    <tableColumn id="7" name="Comissao_Pct"/>
    <tableColumn id="8" name="Salario_Ba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28.3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8.3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28.35" hidden="false" customHeight="false" outlineLevel="0" collapsed="false">
      <c r="A13" s="4" t="s">
        <v>29</v>
      </c>
      <c r="B13" s="4" t="s">
        <v>30</v>
      </c>
      <c r="C13" s="4" t="s">
        <v>7</v>
      </c>
    </row>
    <row r="14" customFormat="false" ht="28.35" hidden="false" customHeight="false" outlineLevel="0" collapsed="false">
      <c r="A14" s="4" t="s">
        <v>31</v>
      </c>
      <c r="B14" s="4" t="s">
        <v>32</v>
      </c>
      <c r="C14" s="4" t="s">
        <v>7</v>
      </c>
    </row>
    <row r="16" customFormat="false" ht="15" hidden="false" customHeight="false" outlineLevel="0" collapsed="false">
      <c r="A16" s="5" t="s">
        <v>33</v>
      </c>
    </row>
    <row r="17" customFormat="false" ht="31.5" hidden="false" customHeight="true" outlineLevel="0" collapsed="false">
      <c r="A17" s="6" t="s">
        <v>34</v>
      </c>
      <c r="B17" s="7" t="s">
        <v>35</v>
      </c>
      <c r="C17" s="7"/>
    </row>
    <row r="18" customFormat="false" ht="31.5" hidden="false" customHeight="true" outlineLevel="0" collapsed="false">
      <c r="A18" s="6" t="s">
        <v>34</v>
      </c>
      <c r="B18" s="7" t="s">
        <v>36</v>
      </c>
      <c r="C18" s="7"/>
    </row>
    <row r="19" customFormat="false" ht="31.5" hidden="false" customHeight="true" outlineLevel="0" collapsed="false">
      <c r="A19" s="6" t="s">
        <v>34</v>
      </c>
      <c r="B19" s="7" t="s">
        <v>37</v>
      </c>
      <c r="C19" s="7"/>
    </row>
    <row r="20" customFormat="false" ht="31.5" hidden="false" customHeight="true" outlineLevel="0" collapsed="false">
      <c r="A20" s="6" t="s">
        <v>34</v>
      </c>
      <c r="B20" s="7" t="s">
        <v>38</v>
      </c>
      <c r="C20" s="7"/>
    </row>
    <row r="21" customFormat="false" ht="31.5" hidden="false" customHeight="true" outlineLevel="0" collapsed="false">
      <c r="A21" s="6" t="s">
        <v>34</v>
      </c>
      <c r="B21" s="7" t="s">
        <v>39</v>
      </c>
      <c r="C21" s="7"/>
    </row>
    <row r="23" customFormat="false" ht="15" hidden="false" customHeight="false" outlineLevel="0" collapsed="false">
      <c r="A23" s="5" t="s">
        <v>40</v>
      </c>
    </row>
    <row r="24" customFormat="false" ht="15" hidden="false" customHeight="false" outlineLevel="0" collapsed="false">
      <c r="A24" s="8" t="s">
        <v>41</v>
      </c>
      <c r="B24" s="9" t="s">
        <v>42</v>
      </c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</row>
    <row r="2" customFormat="false" ht="15" hidden="false" customHeight="false" outlineLevel="0" collapsed="false">
      <c r="A2" s="0" t="s">
        <v>52</v>
      </c>
      <c r="B2" s="0" t="s">
        <v>53</v>
      </c>
      <c r="C2" s="0" t="s">
        <v>54</v>
      </c>
      <c r="D2" s="0" t="s">
        <v>55</v>
      </c>
      <c r="E2" s="0" t="n">
        <v>2</v>
      </c>
      <c r="F2" s="0" t="n">
        <v>200</v>
      </c>
      <c r="G2" s="0" t="n">
        <f aca="false">E2*F2</f>
        <v>400</v>
      </c>
      <c r="H2" s="0" t="s">
        <v>56</v>
      </c>
      <c r="I2" s="0" t="s">
        <v>57</v>
      </c>
    </row>
    <row r="3" customFormat="false" ht="15" hidden="false" customHeight="false" outlineLevel="0" collapsed="false">
      <c r="A3" s="0" t="s">
        <v>58</v>
      </c>
      <c r="B3" s="0" t="s">
        <v>59</v>
      </c>
      <c r="C3" s="0" t="s">
        <v>60</v>
      </c>
      <c r="D3" s="0" t="s">
        <v>61</v>
      </c>
      <c r="E3" s="0" t="n">
        <v>3</v>
      </c>
      <c r="F3" s="0" t="n">
        <v>300</v>
      </c>
      <c r="G3" s="0" t="n">
        <f aca="false">E3*F3</f>
        <v>900</v>
      </c>
      <c r="H3" s="0" t="s">
        <v>62</v>
      </c>
      <c r="I3" s="0" t="s">
        <v>63</v>
      </c>
    </row>
    <row r="4" customFormat="false" ht="15" hidden="false" customHeight="false" outlineLevel="0" collapsed="false">
      <c r="A4" s="0" t="s">
        <v>64</v>
      </c>
      <c r="B4" s="0" t="s">
        <v>65</v>
      </c>
      <c r="C4" s="0" t="s">
        <v>66</v>
      </c>
      <c r="D4" s="0" t="s">
        <v>67</v>
      </c>
      <c r="E4" s="0" t="n">
        <v>4</v>
      </c>
      <c r="F4" s="0" t="n">
        <v>400</v>
      </c>
      <c r="G4" s="0" t="n">
        <f aca="false">E4*F4</f>
        <v>1600</v>
      </c>
      <c r="H4" s="0" t="s">
        <v>68</v>
      </c>
      <c r="I4" s="0" t="s">
        <v>69</v>
      </c>
    </row>
    <row r="5" customFormat="false" ht="15" hidden="false" customHeight="false" outlineLevel="0" collapsed="false">
      <c r="A5" s="0" t="s">
        <v>70</v>
      </c>
      <c r="B5" s="0" t="s">
        <v>71</v>
      </c>
      <c r="C5" s="0" t="s">
        <v>72</v>
      </c>
      <c r="D5" s="0" t="s">
        <v>73</v>
      </c>
      <c r="E5" s="0" t="n">
        <v>5</v>
      </c>
      <c r="F5" s="0" t="n">
        <v>100</v>
      </c>
      <c r="G5" s="0" t="n">
        <f aca="false">E5*F5</f>
        <v>500</v>
      </c>
      <c r="H5" s="0" t="s">
        <v>56</v>
      </c>
      <c r="I5" s="0" t="s">
        <v>57</v>
      </c>
    </row>
    <row r="6" customFormat="false" ht="15" hidden="false" customHeight="false" outlineLevel="0" collapsed="false">
      <c r="A6" s="0" t="s">
        <v>74</v>
      </c>
      <c r="B6" s="0" t="s">
        <v>53</v>
      </c>
      <c r="C6" s="0" t="s">
        <v>54</v>
      </c>
      <c r="D6" s="0" t="s">
        <v>55</v>
      </c>
      <c r="E6" s="0" t="n">
        <v>1</v>
      </c>
      <c r="F6" s="0" t="n">
        <v>200</v>
      </c>
      <c r="G6" s="0" t="n">
        <f aca="false">E6*F6</f>
        <v>200</v>
      </c>
      <c r="H6" s="0" t="s">
        <v>62</v>
      </c>
      <c r="I6" s="0" t="s">
        <v>63</v>
      </c>
    </row>
    <row r="7" customFormat="false" ht="15" hidden="false" customHeight="false" outlineLevel="0" collapsed="false">
      <c r="A7" s="0" t="s">
        <v>75</v>
      </c>
      <c r="B7" s="0" t="s">
        <v>59</v>
      </c>
      <c r="C7" s="0" t="s">
        <v>60</v>
      </c>
      <c r="D7" s="0" t="s">
        <v>61</v>
      </c>
      <c r="E7" s="0" t="n">
        <v>2</v>
      </c>
      <c r="F7" s="0" t="n">
        <v>300</v>
      </c>
      <c r="G7" s="0" t="n">
        <f aca="false">E7*F7</f>
        <v>600</v>
      </c>
      <c r="H7" s="0" t="s">
        <v>68</v>
      </c>
      <c r="I7" s="0" t="s">
        <v>69</v>
      </c>
    </row>
    <row r="8" customFormat="false" ht="15" hidden="false" customHeight="false" outlineLevel="0" collapsed="false">
      <c r="A8" s="0" t="s">
        <v>76</v>
      </c>
      <c r="B8" s="0" t="s">
        <v>65</v>
      </c>
      <c r="C8" s="0" t="s">
        <v>66</v>
      </c>
      <c r="D8" s="0" t="s">
        <v>67</v>
      </c>
      <c r="E8" s="0" t="n">
        <v>3</v>
      </c>
      <c r="F8" s="0" t="n">
        <v>400</v>
      </c>
      <c r="G8" s="0" t="n">
        <f aca="false">E8*F8</f>
        <v>1200</v>
      </c>
      <c r="H8" s="0" t="s">
        <v>56</v>
      </c>
      <c r="I8" s="0" t="s">
        <v>57</v>
      </c>
    </row>
    <row r="9" customFormat="false" ht="15" hidden="false" customHeight="false" outlineLevel="0" collapsed="false">
      <c r="A9" s="0" t="s">
        <v>77</v>
      </c>
      <c r="B9" s="0" t="s">
        <v>71</v>
      </c>
      <c r="C9" s="0" t="s">
        <v>72</v>
      </c>
      <c r="D9" s="0" t="s">
        <v>73</v>
      </c>
      <c r="E9" s="0" t="n">
        <v>4</v>
      </c>
      <c r="F9" s="0" t="n">
        <v>100</v>
      </c>
      <c r="G9" s="0" t="n">
        <f aca="false">E9*F9</f>
        <v>400</v>
      </c>
      <c r="H9" s="0" t="s">
        <v>62</v>
      </c>
      <c r="I9" s="0" t="s">
        <v>63</v>
      </c>
    </row>
    <row r="10" customFormat="false" ht="15" hidden="false" customHeight="false" outlineLevel="0" collapsed="false">
      <c r="A10" s="0" t="s">
        <v>78</v>
      </c>
      <c r="B10" s="0" t="s">
        <v>53</v>
      </c>
      <c r="C10" s="0" t="s">
        <v>54</v>
      </c>
      <c r="D10" s="0" t="s">
        <v>55</v>
      </c>
      <c r="E10" s="0" t="n">
        <v>5</v>
      </c>
      <c r="F10" s="0" t="n">
        <v>200</v>
      </c>
      <c r="G10" s="0" t="n">
        <f aca="false">E10*F10</f>
        <v>1000</v>
      </c>
      <c r="H10" s="0" t="s">
        <v>68</v>
      </c>
      <c r="I10" s="0" t="s">
        <v>69</v>
      </c>
    </row>
    <row r="11" customFormat="false" ht="15" hidden="false" customHeight="false" outlineLevel="0" collapsed="false">
      <c r="A11" s="0" t="s">
        <v>79</v>
      </c>
      <c r="B11" s="0" t="s">
        <v>59</v>
      </c>
      <c r="C11" s="0" t="s">
        <v>60</v>
      </c>
      <c r="D11" s="0" t="s">
        <v>61</v>
      </c>
      <c r="E11" s="0" t="n">
        <v>1</v>
      </c>
      <c r="F11" s="0" t="n">
        <v>300</v>
      </c>
      <c r="G11" s="0" t="n">
        <f aca="false">E11*F11</f>
        <v>300</v>
      </c>
      <c r="H11" s="0" t="s">
        <v>56</v>
      </c>
      <c r="I11" s="0" t="s">
        <v>57</v>
      </c>
    </row>
    <row r="12" customFormat="false" ht="15" hidden="false" customHeight="false" outlineLevel="0" collapsed="false">
      <c r="A12" s="0" t="s">
        <v>80</v>
      </c>
      <c r="B12" s="0" t="s">
        <v>65</v>
      </c>
      <c r="C12" s="0" t="s">
        <v>66</v>
      </c>
      <c r="D12" s="0" t="s">
        <v>67</v>
      </c>
      <c r="E12" s="0" t="n">
        <v>2</v>
      </c>
      <c r="F12" s="0" t="n">
        <v>400</v>
      </c>
      <c r="G12" s="0" t="n">
        <f aca="false">E12*F12</f>
        <v>800</v>
      </c>
      <c r="H12" s="0" t="s">
        <v>62</v>
      </c>
      <c r="I12" s="0" t="s">
        <v>63</v>
      </c>
    </row>
    <row r="13" customFormat="false" ht="15" hidden="false" customHeight="false" outlineLevel="0" collapsed="false">
      <c r="A13" s="0" t="s">
        <v>81</v>
      </c>
      <c r="B13" s="0" t="s">
        <v>71</v>
      </c>
      <c r="C13" s="0" t="s">
        <v>72</v>
      </c>
      <c r="D13" s="0" t="s">
        <v>73</v>
      </c>
      <c r="E13" s="0" t="n">
        <v>3</v>
      </c>
      <c r="F13" s="0" t="n">
        <v>100</v>
      </c>
      <c r="G13" s="0" t="n">
        <f aca="false">E13*F13</f>
        <v>300</v>
      </c>
      <c r="H13" s="0" t="s">
        <v>68</v>
      </c>
      <c r="I13" s="0" t="s">
        <v>69</v>
      </c>
    </row>
    <row r="14" customFormat="false" ht="15" hidden="false" customHeight="false" outlineLevel="0" collapsed="false">
      <c r="A14" s="0" t="s">
        <v>82</v>
      </c>
      <c r="B14" s="0" t="s">
        <v>53</v>
      </c>
      <c r="C14" s="0" t="s">
        <v>54</v>
      </c>
      <c r="D14" s="0" t="s">
        <v>55</v>
      </c>
      <c r="E14" s="0" t="n">
        <v>4</v>
      </c>
      <c r="F14" s="0" t="n">
        <v>200</v>
      </c>
      <c r="G14" s="0" t="n">
        <f aca="false">E14*F14</f>
        <v>800</v>
      </c>
      <c r="H14" s="0" t="s">
        <v>56</v>
      </c>
      <c r="I14" s="0" t="s">
        <v>57</v>
      </c>
    </row>
    <row r="15" customFormat="false" ht="15" hidden="false" customHeight="false" outlineLevel="0" collapsed="false">
      <c r="A15" s="0" t="s">
        <v>83</v>
      </c>
      <c r="B15" s="0" t="s">
        <v>59</v>
      </c>
      <c r="C15" s="0" t="s">
        <v>60</v>
      </c>
      <c r="D15" s="0" t="s">
        <v>61</v>
      </c>
      <c r="E15" s="0" t="n">
        <v>5</v>
      </c>
      <c r="F15" s="0" t="n">
        <v>300</v>
      </c>
      <c r="G15" s="0" t="n">
        <f aca="false">E15*F15</f>
        <v>1500</v>
      </c>
      <c r="H15" s="0" t="s">
        <v>62</v>
      </c>
      <c r="I15" s="0" t="s">
        <v>63</v>
      </c>
    </row>
    <row r="16" customFormat="false" ht="15" hidden="false" customHeight="false" outlineLevel="0" collapsed="false">
      <c r="A16" s="0" t="s">
        <v>84</v>
      </c>
      <c r="B16" s="0" t="s">
        <v>65</v>
      </c>
      <c r="C16" s="0" t="s">
        <v>66</v>
      </c>
      <c r="D16" s="0" t="s">
        <v>67</v>
      </c>
      <c r="E16" s="0" t="n">
        <v>1</v>
      </c>
      <c r="F16" s="0" t="n">
        <v>400</v>
      </c>
      <c r="G16" s="0" t="n">
        <f aca="false">E16*F16</f>
        <v>400</v>
      </c>
      <c r="H16" s="0" t="s">
        <v>68</v>
      </c>
      <c r="I16" s="0" t="s">
        <v>69</v>
      </c>
    </row>
    <row r="17" customFormat="false" ht="15" hidden="false" customHeight="false" outlineLevel="0" collapsed="false">
      <c r="A17" s="0" t="s">
        <v>85</v>
      </c>
      <c r="B17" s="0" t="s">
        <v>71</v>
      </c>
      <c r="C17" s="0" t="s">
        <v>72</v>
      </c>
      <c r="D17" s="0" t="s">
        <v>73</v>
      </c>
      <c r="E17" s="0" t="n">
        <v>2</v>
      </c>
      <c r="F17" s="0" t="n">
        <v>100</v>
      </c>
      <c r="G17" s="0" t="n">
        <f aca="false">E17*F17</f>
        <v>200</v>
      </c>
      <c r="H17" s="0" t="s">
        <v>56</v>
      </c>
      <c r="I17" s="0" t="s">
        <v>57</v>
      </c>
    </row>
    <row r="18" customFormat="false" ht="15" hidden="false" customHeight="false" outlineLevel="0" collapsed="false">
      <c r="A18" s="0" t="s">
        <v>86</v>
      </c>
      <c r="B18" s="0" t="s">
        <v>53</v>
      </c>
      <c r="C18" s="0" t="s">
        <v>54</v>
      </c>
      <c r="D18" s="0" t="s">
        <v>55</v>
      </c>
      <c r="E18" s="0" t="n">
        <v>3</v>
      </c>
      <c r="F18" s="0" t="n">
        <v>200</v>
      </c>
      <c r="G18" s="0" t="n">
        <f aca="false">E18*F18</f>
        <v>600</v>
      </c>
      <c r="H18" s="0" t="s">
        <v>62</v>
      </c>
      <c r="I18" s="0" t="s">
        <v>63</v>
      </c>
    </row>
    <row r="19" customFormat="false" ht="15" hidden="false" customHeight="false" outlineLevel="0" collapsed="false">
      <c r="A19" s="0" t="s">
        <v>87</v>
      </c>
      <c r="B19" s="0" t="s">
        <v>59</v>
      </c>
      <c r="C19" s="0" t="s">
        <v>60</v>
      </c>
      <c r="D19" s="0" t="s">
        <v>61</v>
      </c>
      <c r="E19" s="0" t="n">
        <v>4</v>
      </c>
      <c r="F19" s="0" t="n">
        <v>300</v>
      </c>
      <c r="G19" s="0" t="n">
        <f aca="false">E19*F19</f>
        <v>1200</v>
      </c>
      <c r="H19" s="0" t="s">
        <v>68</v>
      </c>
      <c r="I19" s="0" t="s">
        <v>69</v>
      </c>
    </row>
    <row r="20" customFormat="false" ht="15" hidden="false" customHeight="false" outlineLevel="0" collapsed="false">
      <c r="A20" s="0" t="s">
        <v>88</v>
      </c>
      <c r="B20" s="0" t="s">
        <v>65</v>
      </c>
      <c r="C20" s="0" t="s">
        <v>66</v>
      </c>
      <c r="D20" s="0" t="s">
        <v>67</v>
      </c>
      <c r="E20" s="0" t="n">
        <v>5</v>
      </c>
      <c r="F20" s="0" t="n">
        <v>400</v>
      </c>
      <c r="G20" s="0" t="n">
        <f aca="false">E20*F20</f>
        <v>2000</v>
      </c>
      <c r="H20" s="0" t="s">
        <v>56</v>
      </c>
      <c r="I20" s="0" t="s">
        <v>57</v>
      </c>
    </row>
    <row r="21" customFormat="false" ht="15" hidden="false" customHeight="false" outlineLevel="0" collapsed="false">
      <c r="A21" s="0" t="s">
        <v>89</v>
      </c>
      <c r="B21" s="0" t="s">
        <v>71</v>
      </c>
      <c r="C21" s="0" t="s">
        <v>72</v>
      </c>
      <c r="D21" s="0" t="s">
        <v>73</v>
      </c>
      <c r="E21" s="0" t="n">
        <v>1</v>
      </c>
      <c r="F21" s="0" t="n">
        <v>100</v>
      </c>
      <c r="G21" s="0" t="n">
        <f aca="false">E21*F21</f>
        <v>100</v>
      </c>
      <c r="H21" s="0" t="s">
        <v>62</v>
      </c>
      <c r="I21" s="0" t="s">
        <v>63</v>
      </c>
    </row>
    <row r="22" customFormat="false" ht="15" hidden="false" customHeight="false" outlineLevel="0" collapsed="false">
      <c r="A22" s="0" t="s">
        <v>90</v>
      </c>
      <c r="B22" s="0" t="s">
        <v>53</v>
      </c>
      <c r="C22" s="0" t="s">
        <v>54</v>
      </c>
      <c r="D22" s="0" t="s">
        <v>55</v>
      </c>
      <c r="E22" s="0" t="n">
        <v>2</v>
      </c>
      <c r="F22" s="0" t="n">
        <v>200</v>
      </c>
      <c r="G22" s="0" t="n">
        <f aca="false">E22*F22</f>
        <v>400</v>
      </c>
      <c r="H22" s="0" t="s">
        <v>56</v>
      </c>
      <c r="I22" s="0" t="s">
        <v>57</v>
      </c>
    </row>
    <row r="23" customFormat="false" ht="15" hidden="false" customHeight="false" outlineLevel="0" collapsed="false">
      <c r="A23" s="0" t="s">
        <v>91</v>
      </c>
      <c r="B23" s="0" t="s">
        <v>59</v>
      </c>
      <c r="C23" s="0" t="s">
        <v>60</v>
      </c>
      <c r="D23" s="0" t="s">
        <v>61</v>
      </c>
      <c r="E23" s="0" t="n">
        <v>3</v>
      </c>
      <c r="F23" s="0" t="n">
        <v>300</v>
      </c>
      <c r="G23" s="0" t="n">
        <f aca="false">E23*F23</f>
        <v>900</v>
      </c>
      <c r="H23" s="0" t="s">
        <v>62</v>
      </c>
      <c r="I23" s="0" t="s">
        <v>63</v>
      </c>
    </row>
    <row r="24" customFormat="false" ht="15" hidden="false" customHeight="false" outlineLevel="0" collapsed="false">
      <c r="A24" s="0" t="s">
        <v>92</v>
      </c>
      <c r="B24" s="0" t="s">
        <v>65</v>
      </c>
      <c r="C24" s="0" t="s">
        <v>66</v>
      </c>
      <c r="D24" s="0" t="s">
        <v>67</v>
      </c>
      <c r="E24" s="0" t="n">
        <v>4</v>
      </c>
      <c r="F24" s="0" t="n">
        <v>400</v>
      </c>
      <c r="G24" s="0" t="n">
        <f aca="false">E24*F24</f>
        <v>1600</v>
      </c>
      <c r="H24" s="0" t="s">
        <v>68</v>
      </c>
      <c r="I24" s="0" t="s">
        <v>69</v>
      </c>
    </row>
    <row r="25" customFormat="false" ht="15" hidden="false" customHeight="false" outlineLevel="0" collapsed="false">
      <c r="A25" s="0" t="s">
        <v>93</v>
      </c>
      <c r="B25" s="0" t="s">
        <v>71</v>
      </c>
      <c r="C25" s="0" t="s">
        <v>72</v>
      </c>
      <c r="D25" s="0" t="s">
        <v>73</v>
      </c>
      <c r="E25" s="0" t="n">
        <v>5</v>
      </c>
      <c r="F25" s="0" t="n">
        <v>100</v>
      </c>
      <c r="G25" s="0" t="n">
        <f aca="false">E25*F25</f>
        <v>500</v>
      </c>
      <c r="H25" s="0" t="s">
        <v>56</v>
      </c>
      <c r="I25" s="0" t="s">
        <v>57</v>
      </c>
    </row>
    <row r="26" customFormat="false" ht="15" hidden="false" customHeight="false" outlineLevel="0" collapsed="false">
      <c r="A26" s="0" t="s">
        <v>94</v>
      </c>
      <c r="B26" s="0" t="s">
        <v>53</v>
      </c>
      <c r="C26" s="0" t="s">
        <v>54</v>
      </c>
      <c r="D26" s="0" t="s">
        <v>55</v>
      </c>
      <c r="E26" s="0" t="n">
        <v>1</v>
      </c>
      <c r="F26" s="0" t="n">
        <v>200</v>
      </c>
      <c r="G26" s="0" t="n">
        <f aca="false">E26*F26</f>
        <v>200</v>
      </c>
      <c r="H26" s="0" t="s">
        <v>62</v>
      </c>
      <c r="I26" s="0" t="s">
        <v>63</v>
      </c>
    </row>
    <row r="27" customFormat="false" ht="15" hidden="false" customHeight="false" outlineLevel="0" collapsed="false">
      <c r="A27" s="0" t="s">
        <v>95</v>
      </c>
      <c r="B27" s="0" t="s">
        <v>59</v>
      </c>
      <c r="C27" s="0" t="s">
        <v>60</v>
      </c>
      <c r="D27" s="0" t="s">
        <v>61</v>
      </c>
      <c r="E27" s="0" t="n">
        <v>2</v>
      </c>
      <c r="F27" s="0" t="n">
        <v>300</v>
      </c>
      <c r="G27" s="0" t="n">
        <f aca="false">E27*F27</f>
        <v>600</v>
      </c>
      <c r="H27" s="0" t="s">
        <v>68</v>
      </c>
      <c r="I27" s="0" t="s">
        <v>69</v>
      </c>
    </row>
    <row r="28" customFormat="false" ht="15" hidden="false" customHeight="false" outlineLevel="0" collapsed="false">
      <c r="A28" s="0" t="s">
        <v>96</v>
      </c>
      <c r="B28" s="0" t="s">
        <v>65</v>
      </c>
      <c r="C28" s="0" t="s">
        <v>66</v>
      </c>
      <c r="D28" s="0" t="s">
        <v>67</v>
      </c>
      <c r="E28" s="0" t="n">
        <v>3</v>
      </c>
      <c r="F28" s="0" t="n">
        <v>400</v>
      </c>
      <c r="G28" s="0" t="n">
        <f aca="false">E28*F28</f>
        <v>1200</v>
      </c>
      <c r="H28" s="0" t="s">
        <v>56</v>
      </c>
      <c r="I28" s="0" t="s">
        <v>57</v>
      </c>
    </row>
    <row r="29" customFormat="false" ht="15" hidden="false" customHeight="false" outlineLevel="0" collapsed="false">
      <c r="A29" s="0" t="s">
        <v>97</v>
      </c>
      <c r="B29" s="0" t="s">
        <v>71</v>
      </c>
      <c r="C29" s="0" t="s">
        <v>72</v>
      </c>
      <c r="D29" s="0" t="s">
        <v>73</v>
      </c>
      <c r="E29" s="0" t="n">
        <v>4</v>
      </c>
      <c r="F29" s="0" t="n">
        <v>100</v>
      </c>
      <c r="G29" s="0" t="n">
        <f aca="false">E29*F29</f>
        <v>400</v>
      </c>
      <c r="H29" s="0" t="s">
        <v>62</v>
      </c>
      <c r="I29" s="0" t="s">
        <v>63</v>
      </c>
    </row>
    <row r="30" customFormat="false" ht="15" hidden="false" customHeight="false" outlineLevel="0" collapsed="false">
      <c r="A30" s="0" t="s">
        <v>98</v>
      </c>
      <c r="B30" s="0" t="s">
        <v>53</v>
      </c>
      <c r="C30" s="0" t="s">
        <v>54</v>
      </c>
      <c r="D30" s="0" t="s">
        <v>55</v>
      </c>
      <c r="E30" s="0" t="n">
        <v>5</v>
      </c>
      <c r="F30" s="0" t="n">
        <v>200</v>
      </c>
      <c r="G30" s="0" t="n">
        <f aca="false">E30*F30</f>
        <v>1000</v>
      </c>
      <c r="H30" s="0" t="s">
        <v>68</v>
      </c>
      <c r="I30" s="0" t="s">
        <v>69</v>
      </c>
    </row>
    <row r="31" customFormat="false" ht="15" hidden="false" customHeight="false" outlineLevel="0" collapsed="false">
      <c r="A31" s="0" t="s">
        <v>99</v>
      </c>
      <c r="B31" s="0" t="s">
        <v>59</v>
      </c>
      <c r="C31" s="0" t="s">
        <v>60</v>
      </c>
      <c r="D31" s="0" t="s">
        <v>61</v>
      </c>
      <c r="E31" s="0" t="n">
        <v>1</v>
      </c>
      <c r="F31" s="0" t="n">
        <v>300</v>
      </c>
      <c r="G31" s="0" t="n">
        <f aca="false">E31*F31</f>
        <v>300</v>
      </c>
      <c r="H31" s="0" t="s">
        <v>56</v>
      </c>
      <c r="I31" s="0" t="s">
        <v>57</v>
      </c>
    </row>
    <row r="32" customFormat="false" ht="15" hidden="false" customHeight="false" outlineLevel="0" collapsed="false">
      <c r="A32" s="0" t="s">
        <v>100</v>
      </c>
      <c r="B32" s="0" t="s">
        <v>65</v>
      </c>
      <c r="C32" s="0" t="s">
        <v>66</v>
      </c>
      <c r="D32" s="0" t="s">
        <v>67</v>
      </c>
      <c r="E32" s="0" t="n">
        <v>2</v>
      </c>
      <c r="F32" s="0" t="n">
        <v>400</v>
      </c>
      <c r="G32" s="0" t="n">
        <f aca="false">E32*F32</f>
        <v>800</v>
      </c>
      <c r="H32" s="0" t="s">
        <v>62</v>
      </c>
      <c r="I32" s="0" t="s">
        <v>63</v>
      </c>
    </row>
    <row r="33" customFormat="false" ht="15" hidden="false" customHeight="false" outlineLevel="0" collapsed="false">
      <c r="A33" s="0" t="s">
        <v>101</v>
      </c>
      <c r="B33" s="0" t="s">
        <v>71</v>
      </c>
      <c r="C33" s="0" t="s">
        <v>72</v>
      </c>
      <c r="D33" s="0" t="s">
        <v>73</v>
      </c>
      <c r="E33" s="0" t="n">
        <v>3</v>
      </c>
      <c r="F33" s="0" t="n">
        <v>100</v>
      </c>
      <c r="G33" s="0" t="n">
        <f aca="false">E33*F33</f>
        <v>300</v>
      </c>
      <c r="H33" s="0" t="s">
        <v>68</v>
      </c>
      <c r="I33" s="0" t="s">
        <v>69</v>
      </c>
    </row>
    <row r="34" customFormat="false" ht="15" hidden="false" customHeight="false" outlineLevel="0" collapsed="false">
      <c r="A34" s="0" t="s">
        <v>102</v>
      </c>
      <c r="B34" s="0" t="s">
        <v>53</v>
      </c>
      <c r="C34" s="0" t="s">
        <v>54</v>
      </c>
      <c r="D34" s="0" t="s">
        <v>55</v>
      </c>
      <c r="E34" s="0" t="n">
        <v>4</v>
      </c>
      <c r="F34" s="0" t="n">
        <v>200</v>
      </c>
      <c r="G34" s="0" t="n">
        <f aca="false">E34*F34</f>
        <v>800</v>
      </c>
      <c r="H34" s="0" t="s">
        <v>56</v>
      </c>
      <c r="I34" s="0" t="s">
        <v>57</v>
      </c>
    </row>
    <row r="35" customFormat="false" ht="15" hidden="false" customHeight="false" outlineLevel="0" collapsed="false">
      <c r="A35" s="0" t="s">
        <v>103</v>
      </c>
      <c r="B35" s="0" t="s">
        <v>59</v>
      </c>
      <c r="C35" s="0" t="s">
        <v>60</v>
      </c>
      <c r="D35" s="0" t="s">
        <v>61</v>
      </c>
      <c r="E35" s="0" t="n">
        <v>5</v>
      </c>
      <c r="F35" s="0" t="n">
        <v>300</v>
      </c>
      <c r="G35" s="0" t="n">
        <f aca="false">E35*F35</f>
        <v>1500</v>
      </c>
      <c r="H35" s="0" t="s">
        <v>62</v>
      </c>
      <c r="I35" s="0" t="s">
        <v>63</v>
      </c>
    </row>
    <row r="36" customFormat="false" ht="15" hidden="false" customHeight="false" outlineLevel="0" collapsed="false">
      <c r="A36" s="0" t="s">
        <v>104</v>
      </c>
      <c r="B36" s="0" t="s">
        <v>65</v>
      </c>
      <c r="C36" s="0" t="s">
        <v>66</v>
      </c>
      <c r="D36" s="0" t="s">
        <v>67</v>
      </c>
      <c r="E36" s="0" t="n">
        <v>1</v>
      </c>
      <c r="F36" s="0" t="n">
        <v>400</v>
      </c>
      <c r="G36" s="0" t="n">
        <f aca="false">E36*F36</f>
        <v>400</v>
      </c>
      <c r="H36" s="0" t="s">
        <v>68</v>
      </c>
      <c r="I36" s="0" t="s">
        <v>69</v>
      </c>
    </row>
    <row r="37" customFormat="false" ht="15" hidden="false" customHeight="false" outlineLevel="0" collapsed="false">
      <c r="A37" s="0" t="s">
        <v>105</v>
      </c>
      <c r="B37" s="0" t="s">
        <v>71</v>
      </c>
      <c r="C37" s="0" t="s">
        <v>72</v>
      </c>
      <c r="D37" s="0" t="s">
        <v>73</v>
      </c>
      <c r="E37" s="0" t="n">
        <v>2</v>
      </c>
      <c r="F37" s="0" t="n">
        <v>100</v>
      </c>
      <c r="G37" s="0" t="n">
        <f aca="false">E37*F37</f>
        <v>200</v>
      </c>
      <c r="H37" s="0" t="s">
        <v>56</v>
      </c>
      <c r="I37" s="0" t="s">
        <v>57</v>
      </c>
    </row>
    <row r="38" customFormat="false" ht="15" hidden="false" customHeight="false" outlineLevel="0" collapsed="false">
      <c r="A38" s="0" t="s">
        <v>106</v>
      </c>
      <c r="B38" s="0" t="s">
        <v>53</v>
      </c>
      <c r="C38" s="0" t="s">
        <v>54</v>
      </c>
      <c r="D38" s="0" t="s">
        <v>55</v>
      </c>
      <c r="E38" s="0" t="n">
        <v>3</v>
      </c>
      <c r="F38" s="0" t="n">
        <v>200</v>
      </c>
      <c r="G38" s="0" t="n">
        <f aca="false">E38*F38</f>
        <v>600</v>
      </c>
      <c r="H38" s="0" t="s">
        <v>62</v>
      </c>
      <c r="I38" s="0" t="s">
        <v>63</v>
      </c>
    </row>
    <row r="39" customFormat="false" ht="15" hidden="false" customHeight="false" outlineLevel="0" collapsed="false">
      <c r="A39" s="0" t="s">
        <v>107</v>
      </c>
      <c r="B39" s="0" t="s">
        <v>59</v>
      </c>
      <c r="C39" s="0" t="s">
        <v>60</v>
      </c>
      <c r="D39" s="0" t="s">
        <v>61</v>
      </c>
      <c r="E39" s="0" t="n">
        <v>4</v>
      </c>
      <c r="F39" s="0" t="n">
        <v>300</v>
      </c>
      <c r="G39" s="0" t="n">
        <f aca="false">E39*F39</f>
        <v>1200</v>
      </c>
      <c r="H39" s="0" t="s">
        <v>68</v>
      </c>
      <c r="I39" s="0" t="s">
        <v>69</v>
      </c>
    </row>
    <row r="40" customFormat="false" ht="15" hidden="false" customHeight="false" outlineLevel="0" collapsed="false">
      <c r="A40" s="0" t="s">
        <v>108</v>
      </c>
      <c r="B40" s="0" t="s">
        <v>65</v>
      </c>
      <c r="C40" s="0" t="s">
        <v>66</v>
      </c>
      <c r="D40" s="0" t="s">
        <v>67</v>
      </c>
      <c r="E40" s="0" t="n">
        <v>5</v>
      </c>
      <c r="F40" s="0" t="n">
        <v>400</v>
      </c>
      <c r="G40" s="0" t="n">
        <f aca="false">E40*F40</f>
        <v>2000</v>
      </c>
      <c r="H40" s="0" t="s">
        <v>56</v>
      </c>
      <c r="I40" s="0" t="s">
        <v>57</v>
      </c>
    </row>
    <row r="41" customFormat="false" ht="15" hidden="false" customHeight="false" outlineLevel="0" collapsed="false">
      <c r="A41" s="0" t="s">
        <v>109</v>
      </c>
      <c r="B41" s="0" t="s">
        <v>71</v>
      </c>
      <c r="C41" s="0" t="s">
        <v>72</v>
      </c>
      <c r="D41" s="0" t="s">
        <v>73</v>
      </c>
      <c r="E41" s="0" t="n">
        <v>1</v>
      </c>
      <c r="F41" s="0" t="n">
        <v>100</v>
      </c>
      <c r="G41" s="0" t="n">
        <f aca="false">E41*F41</f>
        <v>100</v>
      </c>
      <c r="H41" s="0" t="s">
        <v>62</v>
      </c>
      <c r="I41" s="0" t="s">
        <v>63</v>
      </c>
    </row>
    <row r="42" customFormat="false" ht="15" hidden="false" customHeight="false" outlineLevel="0" collapsed="false">
      <c r="A42" s="0" t="s">
        <v>110</v>
      </c>
      <c r="B42" s="0" t="s">
        <v>53</v>
      </c>
      <c r="C42" s="0" t="s">
        <v>54</v>
      </c>
      <c r="D42" s="0" t="s">
        <v>55</v>
      </c>
      <c r="E42" s="0" t="n">
        <v>2</v>
      </c>
      <c r="F42" s="0" t="n">
        <v>200</v>
      </c>
      <c r="G42" s="0" t="n">
        <f aca="false">E42*F42</f>
        <v>400</v>
      </c>
      <c r="H42" s="0" t="s">
        <v>56</v>
      </c>
      <c r="I42" s="0" t="s">
        <v>57</v>
      </c>
    </row>
    <row r="43" customFormat="false" ht="15" hidden="false" customHeight="false" outlineLevel="0" collapsed="false">
      <c r="A43" s="0" t="s">
        <v>111</v>
      </c>
      <c r="B43" s="0" t="s">
        <v>59</v>
      </c>
      <c r="C43" s="0" t="s">
        <v>60</v>
      </c>
      <c r="D43" s="0" t="s">
        <v>61</v>
      </c>
      <c r="E43" s="0" t="n">
        <v>3</v>
      </c>
      <c r="F43" s="0" t="n">
        <v>300</v>
      </c>
      <c r="G43" s="0" t="n">
        <f aca="false">E43*F43</f>
        <v>900</v>
      </c>
      <c r="H43" s="0" t="s">
        <v>62</v>
      </c>
      <c r="I43" s="0" t="s">
        <v>63</v>
      </c>
    </row>
    <row r="44" customFormat="false" ht="15" hidden="false" customHeight="false" outlineLevel="0" collapsed="false">
      <c r="A44" s="0" t="s">
        <v>112</v>
      </c>
      <c r="B44" s="0" t="s">
        <v>65</v>
      </c>
      <c r="C44" s="0" t="s">
        <v>66</v>
      </c>
      <c r="D44" s="0" t="s">
        <v>67</v>
      </c>
      <c r="E44" s="0" t="n">
        <v>4</v>
      </c>
      <c r="F44" s="0" t="n">
        <v>400</v>
      </c>
      <c r="G44" s="0" t="n">
        <f aca="false">E44*F44</f>
        <v>1600</v>
      </c>
      <c r="H44" s="0" t="s">
        <v>68</v>
      </c>
      <c r="I44" s="0" t="s">
        <v>69</v>
      </c>
    </row>
    <row r="45" customFormat="false" ht="15" hidden="false" customHeight="false" outlineLevel="0" collapsed="false">
      <c r="A45" s="0" t="s">
        <v>113</v>
      </c>
      <c r="B45" s="0" t="s">
        <v>71</v>
      </c>
      <c r="C45" s="0" t="s">
        <v>72</v>
      </c>
      <c r="D45" s="0" t="s">
        <v>73</v>
      </c>
      <c r="E45" s="0" t="n">
        <v>5</v>
      </c>
      <c r="F45" s="0" t="n">
        <v>100</v>
      </c>
      <c r="G45" s="0" t="n">
        <f aca="false">E45*F45</f>
        <v>500</v>
      </c>
      <c r="H45" s="0" t="s">
        <v>56</v>
      </c>
      <c r="I45" s="0" t="s">
        <v>57</v>
      </c>
    </row>
    <row r="46" customFormat="false" ht="15" hidden="false" customHeight="false" outlineLevel="0" collapsed="false">
      <c r="A46" s="0" t="s">
        <v>114</v>
      </c>
      <c r="B46" s="0" t="s">
        <v>53</v>
      </c>
      <c r="C46" s="0" t="s">
        <v>54</v>
      </c>
      <c r="D46" s="0" t="s">
        <v>55</v>
      </c>
      <c r="E46" s="0" t="n">
        <v>1</v>
      </c>
      <c r="F46" s="0" t="n">
        <v>200</v>
      </c>
      <c r="G46" s="0" t="n">
        <f aca="false">E46*F46</f>
        <v>200</v>
      </c>
      <c r="H46" s="0" t="s">
        <v>62</v>
      </c>
      <c r="I46" s="0" t="s">
        <v>63</v>
      </c>
    </row>
    <row r="47" customFormat="false" ht="15" hidden="false" customHeight="false" outlineLevel="0" collapsed="false">
      <c r="A47" s="0" t="s">
        <v>115</v>
      </c>
      <c r="B47" s="0" t="s">
        <v>59</v>
      </c>
      <c r="C47" s="0" t="s">
        <v>60</v>
      </c>
      <c r="D47" s="0" t="s">
        <v>61</v>
      </c>
      <c r="E47" s="0" t="n">
        <v>2</v>
      </c>
      <c r="F47" s="0" t="n">
        <v>300</v>
      </c>
      <c r="G47" s="0" t="n">
        <f aca="false">E47*F47</f>
        <v>600</v>
      </c>
      <c r="H47" s="0" t="s">
        <v>68</v>
      </c>
      <c r="I47" s="0" t="s">
        <v>69</v>
      </c>
    </row>
    <row r="48" customFormat="false" ht="15" hidden="false" customHeight="false" outlineLevel="0" collapsed="false">
      <c r="A48" s="0" t="s">
        <v>116</v>
      </c>
      <c r="B48" s="0" t="s">
        <v>65</v>
      </c>
      <c r="C48" s="0" t="s">
        <v>66</v>
      </c>
      <c r="D48" s="0" t="s">
        <v>67</v>
      </c>
      <c r="E48" s="0" t="n">
        <v>3</v>
      </c>
      <c r="F48" s="0" t="n">
        <v>400</v>
      </c>
      <c r="G48" s="0" t="n">
        <f aca="false">E48*F48</f>
        <v>1200</v>
      </c>
      <c r="H48" s="0" t="s">
        <v>56</v>
      </c>
      <c r="I48" s="0" t="s">
        <v>57</v>
      </c>
    </row>
    <row r="49" customFormat="false" ht="15" hidden="false" customHeight="false" outlineLevel="0" collapsed="false">
      <c r="A49" s="0" t="s">
        <v>117</v>
      </c>
      <c r="B49" s="0" t="s">
        <v>71</v>
      </c>
      <c r="C49" s="0" t="s">
        <v>72</v>
      </c>
      <c r="D49" s="0" t="s">
        <v>73</v>
      </c>
      <c r="E49" s="0" t="n">
        <v>4</v>
      </c>
      <c r="F49" s="0" t="n">
        <v>100</v>
      </c>
      <c r="G49" s="0" t="n">
        <f aca="false">E49*F49</f>
        <v>400</v>
      </c>
      <c r="H49" s="0" t="s">
        <v>62</v>
      </c>
      <c r="I49" s="0" t="s">
        <v>63</v>
      </c>
    </row>
    <row r="50" customFormat="false" ht="15" hidden="false" customHeight="false" outlineLevel="0" collapsed="false">
      <c r="A50" s="0" t="s">
        <v>118</v>
      </c>
      <c r="B50" s="0" t="s">
        <v>53</v>
      </c>
      <c r="C50" s="0" t="s">
        <v>54</v>
      </c>
      <c r="D50" s="0" t="s">
        <v>55</v>
      </c>
      <c r="E50" s="0" t="n">
        <v>5</v>
      </c>
      <c r="F50" s="0" t="n">
        <v>200</v>
      </c>
      <c r="G50" s="0" t="n">
        <f aca="false">E50*F50</f>
        <v>1000</v>
      </c>
      <c r="H50" s="0" t="s">
        <v>68</v>
      </c>
      <c r="I50" s="0" t="s">
        <v>69</v>
      </c>
    </row>
    <row r="51" customFormat="false" ht="15" hidden="false" customHeight="false" outlineLevel="0" collapsed="false">
      <c r="A51" s="0" t="s">
        <v>119</v>
      </c>
      <c r="B51" s="0" t="s">
        <v>59</v>
      </c>
      <c r="C51" s="0" t="s">
        <v>60</v>
      </c>
      <c r="D51" s="0" t="s">
        <v>61</v>
      </c>
      <c r="E51" s="0" t="n">
        <v>1</v>
      </c>
      <c r="F51" s="0" t="n">
        <v>300</v>
      </c>
      <c r="G51" s="0" t="n">
        <f aca="false">E51*F51</f>
        <v>300</v>
      </c>
      <c r="H51" s="0" t="s">
        <v>56</v>
      </c>
      <c r="I51" s="0" t="s">
        <v>57</v>
      </c>
    </row>
    <row r="52" customFormat="false" ht="15" hidden="false" customHeight="false" outlineLevel="0" collapsed="false">
      <c r="A52" s="0" t="s">
        <v>120</v>
      </c>
      <c r="B52" s="0" t="s">
        <v>65</v>
      </c>
      <c r="C52" s="0" t="s">
        <v>66</v>
      </c>
      <c r="D52" s="0" t="s">
        <v>67</v>
      </c>
      <c r="E52" s="0" t="n">
        <v>2</v>
      </c>
      <c r="F52" s="0" t="n">
        <v>400</v>
      </c>
      <c r="G52" s="0" t="n">
        <f aca="false">E52*F52</f>
        <v>800</v>
      </c>
      <c r="H52" s="0" t="s">
        <v>62</v>
      </c>
      <c r="I52" s="0" t="s">
        <v>63</v>
      </c>
    </row>
    <row r="53" customFormat="false" ht="15" hidden="false" customHeight="false" outlineLevel="0" collapsed="false">
      <c r="A53" s="0" t="s">
        <v>121</v>
      </c>
      <c r="B53" s="0" t="s">
        <v>71</v>
      </c>
      <c r="C53" s="0" t="s">
        <v>72</v>
      </c>
      <c r="D53" s="0" t="s">
        <v>73</v>
      </c>
      <c r="E53" s="0" t="n">
        <v>3</v>
      </c>
      <c r="F53" s="0" t="n">
        <v>100</v>
      </c>
      <c r="G53" s="0" t="n">
        <f aca="false">E53*F53</f>
        <v>300</v>
      </c>
      <c r="H53" s="0" t="s">
        <v>68</v>
      </c>
      <c r="I53" s="0" t="s">
        <v>69</v>
      </c>
    </row>
    <row r="54" customFormat="false" ht="15" hidden="false" customHeight="false" outlineLevel="0" collapsed="false">
      <c r="A54" s="0" t="s">
        <v>122</v>
      </c>
      <c r="B54" s="0" t="s">
        <v>53</v>
      </c>
      <c r="C54" s="0" t="s">
        <v>54</v>
      </c>
      <c r="D54" s="0" t="s">
        <v>55</v>
      </c>
      <c r="E54" s="0" t="n">
        <v>4</v>
      </c>
      <c r="F54" s="0" t="n">
        <v>200</v>
      </c>
      <c r="G54" s="0" t="n">
        <f aca="false">E54*F54</f>
        <v>800</v>
      </c>
      <c r="H54" s="0" t="s">
        <v>56</v>
      </c>
      <c r="I54" s="0" t="s">
        <v>57</v>
      </c>
    </row>
    <row r="55" customFormat="false" ht="15" hidden="false" customHeight="false" outlineLevel="0" collapsed="false">
      <c r="A55" s="0" t="s">
        <v>123</v>
      </c>
      <c r="B55" s="0" t="s">
        <v>59</v>
      </c>
      <c r="C55" s="0" t="s">
        <v>60</v>
      </c>
      <c r="D55" s="0" t="s">
        <v>61</v>
      </c>
      <c r="E55" s="0" t="n">
        <v>5</v>
      </c>
      <c r="F55" s="0" t="n">
        <v>300</v>
      </c>
      <c r="G55" s="0" t="n">
        <f aca="false">E55*F55</f>
        <v>1500</v>
      </c>
      <c r="H55" s="0" t="s">
        <v>62</v>
      </c>
      <c r="I55" s="0" t="s">
        <v>63</v>
      </c>
    </row>
    <row r="56" customFormat="false" ht="15" hidden="false" customHeight="false" outlineLevel="0" collapsed="false">
      <c r="A56" s="0" t="s">
        <v>124</v>
      </c>
      <c r="B56" s="0" t="s">
        <v>65</v>
      </c>
      <c r="C56" s="0" t="s">
        <v>66</v>
      </c>
      <c r="D56" s="0" t="s">
        <v>67</v>
      </c>
      <c r="E56" s="0" t="n">
        <v>1</v>
      </c>
      <c r="F56" s="0" t="n">
        <v>400</v>
      </c>
      <c r="G56" s="0" t="n">
        <f aca="false">E56*F56</f>
        <v>400</v>
      </c>
      <c r="H56" s="0" t="s">
        <v>68</v>
      </c>
      <c r="I56" s="0" t="s">
        <v>69</v>
      </c>
    </row>
    <row r="57" customFormat="false" ht="15" hidden="false" customHeight="false" outlineLevel="0" collapsed="false">
      <c r="A57" s="0" t="s">
        <v>125</v>
      </c>
      <c r="B57" s="0" t="s">
        <v>71</v>
      </c>
      <c r="C57" s="0" t="s">
        <v>72</v>
      </c>
      <c r="D57" s="0" t="s">
        <v>73</v>
      </c>
      <c r="E57" s="0" t="n">
        <v>2</v>
      </c>
      <c r="F57" s="0" t="n">
        <v>100</v>
      </c>
      <c r="G57" s="0" t="n">
        <f aca="false">E57*F57</f>
        <v>200</v>
      </c>
      <c r="H57" s="0" t="s">
        <v>56</v>
      </c>
      <c r="I57" s="0" t="s">
        <v>57</v>
      </c>
    </row>
    <row r="58" customFormat="false" ht="15" hidden="false" customHeight="false" outlineLevel="0" collapsed="false">
      <c r="A58" s="0" t="s">
        <v>126</v>
      </c>
      <c r="B58" s="0" t="s">
        <v>53</v>
      </c>
      <c r="C58" s="0" t="s">
        <v>54</v>
      </c>
      <c r="D58" s="0" t="s">
        <v>55</v>
      </c>
      <c r="E58" s="0" t="n">
        <v>3</v>
      </c>
      <c r="F58" s="0" t="n">
        <v>200</v>
      </c>
      <c r="G58" s="0" t="n">
        <f aca="false">E58*F58</f>
        <v>600</v>
      </c>
      <c r="H58" s="0" t="s">
        <v>62</v>
      </c>
      <c r="I58" s="0" t="s">
        <v>63</v>
      </c>
    </row>
    <row r="59" customFormat="false" ht="15" hidden="false" customHeight="false" outlineLevel="0" collapsed="false">
      <c r="A59" s="0" t="s">
        <v>127</v>
      </c>
      <c r="B59" s="0" t="s">
        <v>59</v>
      </c>
      <c r="C59" s="0" t="s">
        <v>60</v>
      </c>
      <c r="D59" s="0" t="s">
        <v>61</v>
      </c>
      <c r="E59" s="0" t="n">
        <v>4</v>
      </c>
      <c r="F59" s="0" t="n">
        <v>300</v>
      </c>
      <c r="G59" s="0" t="n">
        <f aca="false">E59*F59</f>
        <v>1200</v>
      </c>
      <c r="H59" s="0" t="s">
        <v>68</v>
      </c>
      <c r="I59" s="0" t="s">
        <v>69</v>
      </c>
    </row>
    <row r="60" customFormat="false" ht="15" hidden="false" customHeight="false" outlineLevel="0" collapsed="false">
      <c r="A60" s="0" t="s">
        <v>128</v>
      </c>
      <c r="B60" s="0" t="s">
        <v>65</v>
      </c>
      <c r="C60" s="0" t="s">
        <v>66</v>
      </c>
      <c r="D60" s="0" t="s">
        <v>67</v>
      </c>
      <c r="E60" s="0" t="n">
        <v>5</v>
      </c>
      <c r="F60" s="0" t="n">
        <v>400</v>
      </c>
      <c r="G60" s="0" t="n">
        <f aca="false">E60*F60</f>
        <v>2000</v>
      </c>
      <c r="H60" s="0" t="s">
        <v>56</v>
      </c>
      <c r="I60" s="0" t="s">
        <v>57</v>
      </c>
    </row>
    <row r="61" customFormat="false" ht="15" hidden="false" customHeight="false" outlineLevel="0" collapsed="false">
      <c r="A61" s="0" t="s">
        <v>129</v>
      </c>
      <c r="B61" s="0" t="s">
        <v>71</v>
      </c>
      <c r="C61" s="0" t="s">
        <v>72</v>
      </c>
      <c r="D61" s="0" t="s">
        <v>73</v>
      </c>
      <c r="E61" s="0" t="n">
        <v>1</v>
      </c>
      <c r="F61" s="0" t="n">
        <v>100</v>
      </c>
      <c r="G61" s="0" t="n">
        <f aca="false">E61*F61</f>
        <v>100</v>
      </c>
      <c r="H61" s="0" t="s">
        <v>62</v>
      </c>
      <c r="I61" s="0" t="s">
        <v>63</v>
      </c>
    </row>
    <row r="62" customFormat="false" ht="15" hidden="false" customHeight="false" outlineLevel="0" collapsed="false">
      <c r="A62" s="0" t="s">
        <v>130</v>
      </c>
      <c r="B62" s="0" t="s">
        <v>53</v>
      </c>
      <c r="C62" s="0" t="s">
        <v>54</v>
      </c>
      <c r="D62" s="0" t="s">
        <v>55</v>
      </c>
      <c r="E62" s="0" t="n">
        <v>2</v>
      </c>
      <c r="F62" s="0" t="n">
        <v>200</v>
      </c>
      <c r="G62" s="0" t="n">
        <f aca="false">E62*F62</f>
        <v>400</v>
      </c>
      <c r="H62" s="0" t="s">
        <v>56</v>
      </c>
      <c r="I62" s="0" t="s">
        <v>57</v>
      </c>
    </row>
    <row r="63" customFormat="false" ht="15" hidden="false" customHeight="false" outlineLevel="0" collapsed="false">
      <c r="A63" s="0" t="s">
        <v>131</v>
      </c>
      <c r="B63" s="0" t="s">
        <v>59</v>
      </c>
      <c r="C63" s="0" t="s">
        <v>60</v>
      </c>
      <c r="D63" s="0" t="s">
        <v>61</v>
      </c>
      <c r="E63" s="0" t="n">
        <v>3</v>
      </c>
      <c r="F63" s="0" t="n">
        <v>300</v>
      </c>
      <c r="G63" s="0" t="n">
        <f aca="false">E63*F63</f>
        <v>900</v>
      </c>
      <c r="H63" s="0" t="s">
        <v>62</v>
      </c>
      <c r="I63" s="0" t="s">
        <v>63</v>
      </c>
    </row>
    <row r="64" customFormat="false" ht="15" hidden="false" customHeight="false" outlineLevel="0" collapsed="false">
      <c r="A64" s="0" t="s">
        <v>132</v>
      </c>
      <c r="B64" s="0" t="s">
        <v>65</v>
      </c>
      <c r="C64" s="0" t="s">
        <v>66</v>
      </c>
      <c r="D64" s="0" t="s">
        <v>67</v>
      </c>
      <c r="E64" s="0" t="n">
        <v>4</v>
      </c>
      <c r="F64" s="0" t="n">
        <v>400</v>
      </c>
      <c r="G64" s="0" t="n">
        <f aca="false">E64*F64</f>
        <v>1600</v>
      </c>
      <c r="H64" s="0" t="s">
        <v>68</v>
      </c>
      <c r="I64" s="0" t="s">
        <v>69</v>
      </c>
    </row>
    <row r="65" customFormat="false" ht="15" hidden="false" customHeight="false" outlineLevel="0" collapsed="false">
      <c r="A65" s="0" t="s">
        <v>133</v>
      </c>
      <c r="B65" s="0" t="s">
        <v>71</v>
      </c>
      <c r="C65" s="0" t="s">
        <v>72</v>
      </c>
      <c r="D65" s="0" t="s">
        <v>73</v>
      </c>
      <c r="E65" s="0" t="n">
        <v>5</v>
      </c>
      <c r="F65" s="0" t="n">
        <v>100</v>
      </c>
      <c r="G65" s="0" t="n">
        <f aca="false">E65*F65</f>
        <v>500</v>
      </c>
      <c r="H65" s="0" t="s">
        <v>56</v>
      </c>
      <c r="I65" s="0" t="s">
        <v>57</v>
      </c>
    </row>
    <row r="66" customFormat="false" ht="15" hidden="false" customHeight="false" outlineLevel="0" collapsed="false">
      <c r="A66" s="0" t="s">
        <v>134</v>
      </c>
      <c r="B66" s="0" t="s">
        <v>53</v>
      </c>
      <c r="C66" s="0" t="s">
        <v>54</v>
      </c>
      <c r="D66" s="0" t="s">
        <v>55</v>
      </c>
      <c r="E66" s="0" t="n">
        <v>1</v>
      </c>
      <c r="F66" s="0" t="n">
        <v>200</v>
      </c>
      <c r="G66" s="0" t="n">
        <f aca="false">E66*F66</f>
        <v>200</v>
      </c>
      <c r="H66" s="0" t="s">
        <v>62</v>
      </c>
      <c r="I66" s="0" t="s">
        <v>63</v>
      </c>
    </row>
    <row r="67" customFormat="false" ht="15" hidden="false" customHeight="false" outlineLevel="0" collapsed="false">
      <c r="A67" s="0" t="s">
        <v>135</v>
      </c>
      <c r="B67" s="0" t="s">
        <v>59</v>
      </c>
      <c r="C67" s="0" t="s">
        <v>60</v>
      </c>
      <c r="D67" s="0" t="s">
        <v>61</v>
      </c>
      <c r="E67" s="0" t="n">
        <v>2</v>
      </c>
      <c r="F67" s="0" t="n">
        <v>300</v>
      </c>
      <c r="G67" s="0" t="n">
        <f aca="false">E67*F67</f>
        <v>600</v>
      </c>
      <c r="H67" s="0" t="s">
        <v>68</v>
      </c>
      <c r="I67" s="0" t="s">
        <v>69</v>
      </c>
    </row>
    <row r="68" customFormat="false" ht="15" hidden="false" customHeight="false" outlineLevel="0" collapsed="false">
      <c r="A68" s="0" t="s">
        <v>136</v>
      </c>
      <c r="B68" s="0" t="s">
        <v>65</v>
      </c>
      <c r="C68" s="0" t="s">
        <v>66</v>
      </c>
      <c r="D68" s="0" t="s">
        <v>67</v>
      </c>
      <c r="E68" s="0" t="n">
        <v>3</v>
      </c>
      <c r="F68" s="0" t="n">
        <v>400</v>
      </c>
      <c r="G68" s="0" t="n">
        <f aca="false">E68*F68</f>
        <v>1200</v>
      </c>
      <c r="H68" s="0" t="s">
        <v>56</v>
      </c>
      <c r="I68" s="0" t="s">
        <v>57</v>
      </c>
    </row>
    <row r="69" customFormat="false" ht="15" hidden="false" customHeight="false" outlineLevel="0" collapsed="false">
      <c r="A69" s="0" t="s">
        <v>137</v>
      </c>
      <c r="B69" s="0" t="s">
        <v>71</v>
      </c>
      <c r="C69" s="0" t="s">
        <v>72</v>
      </c>
      <c r="D69" s="0" t="s">
        <v>73</v>
      </c>
      <c r="E69" s="0" t="n">
        <v>4</v>
      </c>
      <c r="F69" s="0" t="n">
        <v>100</v>
      </c>
      <c r="G69" s="0" t="n">
        <f aca="false">E69*F69</f>
        <v>400</v>
      </c>
      <c r="H69" s="0" t="s">
        <v>62</v>
      </c>
      <c r="I69" s="0" t="s">
        <v>63</v>
      </c>
    </row>
    <row r="70" customFormat="false" ht="15" hidden="false" customHeight="false" outlineLevel="0" collapsed="false">
      <c r="A70" s="0" t="s">
        <v>138</v>
      </c>
      <c r="B70" s="0" t="s">
        <v>53</v>
      </c>
      <c r="C70" s="0" t="s">
        <v>54</v>
      </c>
      <c r="D70" s="0" t="s">
        <v>55</v>
      </c>
      <c r="E70" s="0" t="n">
        <v>5</v>
      </c>
      <c r="F70" s="0" t="n">
        <v>200</v>
      </c>
      <c r="G70" s="0" t="n">
        <f aca="false">E70*F70</f>
        <v>1000</v>
      </c>
      <c r="H70" s="0" t="s">
        <v>68</v>
      </c>
      <c r="I70" s="0" t="s">
        <v>69</v>
      </c>
    </row>
    <row r="71" customFormat="false" ht="15" hidden="false" customHeight="false" outlineLevel="0" collapsed="false">
      <c r="A71" s="0" t="s">
        <v>139</v>
      </c>
      <c r="B71" s="0" t="s">
        <v>59</v>
      </c>
      <c r="C71" s="0" t="s">
        <v>60</v>
      </c>
      <c r="D71" s="0" t="s">
        <v>61</v>
      </c>
      <c r="E71" s="0" t="n">
        <v>1</v>
      </c>
      <c r="F71" s="0" t="n">
        <v>300</v>
      </c>
      <c r="G71" s="0" t="n">
        <f aca="false">E71*F71</f>
        <v>300</v>
      </c>
      <c r="H71" s="0" t="s">
        <v>56</v>
      </c>
      <c r="I71" s="0" t="s">
        <v>57</v>
      </c>
    </row>
    <row r="72" customFormat="false" ht="15" hidden="false" customHeight="false" outlineLevel="0" collapsed="false">
      <c r="A72" s="0" t="s">
        <v>140</v>
      </c>
      <c r="B72" s="0" t="s">
        <v>65</v>
      </c>
      <c r="C72" s="0" t="s">
        <v>66</v>
      </c>
      <c r="D72" s="0" t="s">
        <v>67</v>
      </c>
      <c r="E72" s="0" t="n">
        <v>2</v>
      </c>
      <c r="F72" s="0" t="n">
        <v>400</v>
      </c>
      <c r="G72" s="0" t="n">
        <f aca="false">E72*F72</f>
        <v>800</v>
      </c>
      <c r="H72" s="0" t="s">
        <v>62</v>
      </c>
      <c r="I72" s="0" t="s">
        <v>63</v>
      </c>
    </row>
    <row r="73" customFormat="false" ht="15" hidden="false" customHeight="false" outlineLevel="0" collapsed="false">
      <c r="A73" s="0" t="s">
        <v>141</v>
      </c>
      <c r="B73" s="0" t="s">
        <v>71</v>
      </c>
      <c r="C73" s="0" t="s">
        <v>72</v>
      </c>
      <c r="D73" s="0" t="s">
        <v>73</v>
      </c>
      <c r="E73" s="0" t="n">
        <v>3</v>
      </c>
      <c r="F73" s="0" t="n">
        <v>100</v>
      </c>
      <c r="G73" s="0" t="n">
        <f aca="false">E73*F73</f>
        <v>300</v>
      </c>
      <c r="H73" s="0" t="s">
        <v>68</v>
      </c>
      <c r="I73" s="0" t="s">
        <v>69</v>
      </c>
    </row>
    <row r="74" customFormat="false" ht="15" hidden="false" customHeight="false" outlineLevel="0" collapsed="false">
      <c r="A74" s="0" t="s">
        <v>142</v>
      </c>
      <c r="B74" s="0" t="s">
        <v>53</v>
      </c>
      <c r="C74" s="0" t="s">
        <v>54</v>
      </c>
      <c r="D74" s="0" t="s">
        <v>55</v>
      </c>
      <c r="E74" s="0" t="n">
        <v>4</v>
      </c>
      <c r="F74" s="0" t="n">
        <v>200</v>
      </c>
      <c r="G74" s="0" t="n">
        <f aca="false">E74*F74</f>
        <v>800</v>
      </c>
      <c r="H74" s="0" t="s">
        <v>56</v>
      </c>
      <c r="I74" s="0" t="s">
        <v>57</v>
      </c>
    </row>
    <row r="75" customFormat="false" ht="15" hidden="false" customHeight="false" outlineLevel="0" collapsed="false">
      <c r="A75" s="0" t="s">
        <v>143</v>
      </c>
      <c r="B75" s="0" t="s">
        <v>59</v>
      </c>
      <c r="C75" s="0" t="s">
        <v>60</v>
      </c>
      <c r="D75" s="0" t="s">
        <v>61</v>
      </c>
      <c r="E75" s="0" t="n">
        <v>5</v>
      </c>
      <c r="F75" s="0" t="n">
        <v>300</v>
      </c>
      <c r="G75" s="0" t="n">
        <f aca="false">E75*F75</f>
        <v>1500</v>
      </c>
      <c r="H75" s="0" t="s">
        <v>62</v>
      </c>
      <c r="I75" s="0" t="s">
        <v>63</v>
      </c>
    </row>
    <row r="76" customFormat="false" ht="15" hidden="false" customHeight="false" outlineLevel="0" collapsed="false">
      <c r="A76" s="0" t="s">
        <v>144</v>
      </c>
      <c r="B76" s="0" t="s">
        <v>65</v>
      </c>
      <c r="C76" s="0" t="s">
        <v>66</v>
      </c>
      <c r="D76" s="0" t="s">
        <v>67</v>
      </c>
      <c r="E76" s="0" t="n">
        <v>1</v>
      </c>
      <c r="F76" s="0" t="n">
        <v>400</v>
      </c>
      <c r="G76" s="0" t="n">
        <f aca="false">E76*F76</f>
        <v>400</v>
      </c>
      <c r="H76" s="0" t="s">
        <v>68</v>
      </c>
      <c r="I76" s="0" t="s">
        <v>69</v>
      </c>
    </row>
    <row r="77" customFormat="false" ht="15" hidden="false" customHeight="false" outlineLevel="0" collapsed="false">
      <c r="A77" s="0" t="s">
        <v>145</v>
      </c>
      <c r="B77" s="0" t="s">
        <v>71</v>
      </c>
      <c r="C77" s="0" t="s">
        <v>72</v>
      </c>
      <c r="D77" s="0" t="s">
        <v>73</v>
      </c>
      <c r="E77" s="0" t="n">
        <v>2</v>
      </c>
      <c r="F77" s="0" t="n">
        <v>100</v>
      </c>
      <c r="G77" s="0" t="n">
        <f aca="false">E77*F77</f>
        <v>200</v>
      </c>
      <c r="H77" s="0" t="s">
        <v>56</v>
      </c>
      <c r="I77" s="0" t="s">
        <v>57</v>
      </c>
    </row>
    <row r="78" customFormat="false" ht="15" hidden="false" customHeight="false" outlineLevel="0" collapsed="false">
      <c r="A78" s="0" t="s">
        <v>146</v>
      </c>
      <c r="B78" s="0" t="s">
        <v>53</v>
      </c>
      <c r="C78" s="0" t="s">
        <v>54</v>
      </c>
      <c r="D78" s="0" t="s">
        <v>55</v>
      </c>
      <c r="E78" s="0" t="n">
        <v>3</v>
      </c>
      <c r="F78" s="0" t="n">
        <v>200</v>
      </c>
      <c r="G78" s="0" t="n">
        <f aca="false">E78*F78</f>
        <v>600</v>
      </c>
      <c r="H78" s="0" t="s">
        <v>62</v>
      </c>
      <c r="I78" s="0" t="s">
        <v>63</v>
      </c>
    </row>
    <row r="79" customFormat="false" ht="15" hidden="false" customHeight="false" outlineLevel="0" collapsed="false">
      <c r="A79" s="0" t="s">
        <v>147</v>
      </c>
      <c r="B79" s="0" t="s">
        <v>59</v>
      </c>
      <c r="C79" s="0" t="s">
        <v>60</v>
      </c>
      <c r="D79" s="0" t="s">
        <v>61</v>
      </c>
      <c r="E79" s="0" t="n">
        <v>4</v>
      </c>
      <c r="F79" s="0" t="n">
        <v>300</v>
      </c>
      <c r="G79" s="0" t="n">
        <f aca="false">E79*F79</f>
        <v>1200</v>
      </c>
      <c r="H79" s="0" t="s">
        <v>68</v>
      </c>
      <c r="I79" s="0" t="s">
        <v>69</v>
      </c>
    </row>
    <row r="80" customFormat="false" ht="15" hidden="false" customHeight="false" outlineLevel="0" collapsed="false">
      <c r="A80" s="0" t="s">
        <v>148</v>
      </c>
      <c r="B80" s="0" t="s">
        <v>65</v>
      </c>
      <c r="C80" s="0" t="s">
        <v>66</v>
      </c>
      <c r="D80" s="0" t="s">
        <v>67</v>
      </c>
      <c r="E80" s="0" t="n">
        <v>5</v>
      </c>
      <c r="F80" s="0" t="n">
        <v>400</v>
      </c>
      <c r="G80" s="0" t="n">
        <f aca="false">E80*F80</f>
        <v>2000</v>
      </c>
      <c r="H80" s="0" t="s">
        <v>56</v>
      </c>
      <c r="I80" s="0" t="s">
        <v>57</v>
      </c>
    </row>
    <row r="81" customFormat="false" ht="15" hidden="false" customHeight="false" outlineLevel="0" collapsed="false">
      <c r="A81" s="0" t="s">
        <v>149</v>
      </c>
      <c r="B81" s="0" t="s">
        <v>71</v>
      </c>
      <c r="C81" s="0" t="s">
        <v>72</v>
      </c>
      <c r="D81" s="0" t="s">
        <v>73</v>
      </c>
      <c r="E81" s="0" t="n">
        <v>1</v>
      </c>
      <c r="F81" s="0" t="n">
        <v>100</v>
      </c>
      <c r="G81" s="0" t="n">
        <f aca="false">E81*F81</f>
        <v>100</v>
      </c>
      <c r="H81" s="0" t="s">
        <v>62</v>
      </c>
      <c r="I81" s="0" t="s">
        <v>63</v>
      </c>
    </row>
    <row r="82" customFormat="false" ht="15" hidden="false" customHeight="false" outlineLevel="0" collapsed="false">
      <c r="A82" s="0" t="s">
        <v>150</v>
      </c>
      <c r="B82" s="0" t="s">
        <v>53</v>
      </c>
      <c r="C82" s="0" t="s">
        <v>54</v>
      </c>
      <c r="D82" s="0" t="s">
        <v>55</v>
      </c>
      <c r="E82" s="0" t="n">
        <v>2</v>
      </c>
      <c r="F82" s="0" t="n">
        <v>200</v>
      </c>
      <c r="G82" s="0" t="n">
        <f aca="false">E82*F82</f>
        <v>400</v>
      </c>
      <c r="H82" s="0" t="s">
        <v>56</v>
      </c>
      <c r="I82" s="0" t="s">
        <v>57</v>
      </c>
    </row>
    <row r="83" customFormat="false" ht="15" hidden="false" customHeight="false" outlineLevel="0" collapsed="false">
      <c r="A83" s="0" t="s">
        <v>151</v>
      </c>
      <c r="B83" s="0" t="s">
        <v>59</v>
      </c>
      <c r="C83" s="0" t="s">
        <v>60</v>
      </c>
      <c r="D83" s="0" t="s">
        <v>61</v>
      </c>
      <c r="E83" s="0" t="n">
        <v>3</v>
      </c>
      <c r="F83" s="0" t="n">
        <v>300</v>
      </c>
      <c r="G83" s="0" t="n">
        <f aca="false">E83*F83</f>
        <v>900</v>
      </c>
      <c r="H83" s="0" t="s">
        <v>62</v>
      </c>
      <c r="I83" s="0" t="s">
        <v>63</v>
      </c>
    </row>
    <row r="84" customFormat="false" ht="15" hidden="false" customHeight="false" outlineLevel="0" collapsed="false">
      <c r="A84" s="0" t="s">
        <v>152</v>
      </c>
      <c r="B84" s="0" t="s">
        <v>65</v>
      </c>
      <c r="C84" s="0" t="s">
        <v>66</v>
      </c>
      <c r="D84" s="0" t="s">
        <v>67</v>
      </c>
      <c r="E84" s="0" t="n">
        <v>4</v>
      </c>
      <c r="F84" s="0" t="n">
        <v>400</v>
      </c>
      <c r="G84" s="0" t="n">
        <f aca="false">E84*F84</f>
        <v>1600</v>
      </c>
      <c r="H84" s="0" t="s">
        <v>68</v>
      </c>
      <c r="I84" s="0" t="s">
        <v>69</v>
      </c>
    </row>
    <row r="85" customFormat="false" ht="15" hidden="false" customHeight="false" outlineLevel="0" collapsed="false">
      <c r="A85" s="0" t="s">
        <v>153</v>
      </c>
      <c r="B85" s="0" t="s">
        <v>71</v>
      </c>
      <c r="C85" s="0" t="s">
        <v>72</v>
      </c>
      <c r="D85" s="0" t="s">
        <v>73</v>
      </c>
      <c r="E85" s="0" t="n">
        <v>5</v>
      </c>
      <c r="F85" s="0" t="n">
        <v>100</v>
      </c>
      <c r="G85" s="0" t="n">
        <f aca="false">E85*F85</f>
        <v>500</v>
      </c>
      <c r="H85" s="0" t="s">
        <v>56</v>
      </c>
      <c r="I85" s="0" t="s">
        <v>57</v>
      </c>
    </row>
    <row r="86" customFormat="false" ht="15" hidden="false" customHeight="false" outlineLevel="0" collapsed="false">
      <c r="A86" s="0" t="s">
        <v>154</v>
      </c>
      <c r="B86" s="0" t="s">
        <v>53</v>
      </c>
      <c r="C86" s="0" t="s">
        <v>54</v>
      </c>
      <c r="D86" s="0" t="s">
        <v>55</v>
      </c>
      <c r="E86" s="0" t="n">
        <v>1</v>
      </c>
      <c r="F86" s="0" t="n">
        <v>200</v>
      </c>
      <c r="G86" s="0" t="n">
        <f aca="false">E86*F86</f>
        <v>200</v>
      </c>
      <c r="H86" s="0" t="s">
        <v>62</v>
      </c>
      <c r="I86" s="0" t="s">
        <v>63</v>
      </c>
    </row>
    <row r="87" customFormat="false" ht="15" hidden="false" customHeight="false" outlineLevel="0" collapsed="false">
      <c r="A87" s="0" t="s">
        <v>155</v>
      </c>
      <c r="B87" s="0" t="s">
        <v>59</v>
      </c>
      <c r="C87" s="0" t="s">
        <v>60</v>
      </c>
      <c r="D87" s="0" t="s">
        <v>61</v>
      </c>
      <c r="E87" s="0" t="n">
        <v>2</v>
      </c>
      <c r="F87" s="0" t="n">
        <v>300</v>
      </c>
      <c r="G87" s="0" t="n">
        <f aca="false">E87*F87</f>
        <v>600</v>
      </c>
      <c r="H87" s="0" t="s">
        <v>68</v>
      </c>
      <c r="I87" s="0" t="s">
        <v>69</v>
      </c>
    </row>
    <row r="88" customFormat="false" ht="15" hidden="false" customHeight="false" outlineLevel="0" collapsed="false">
      <c r="A88" s="0" t="s">
        <v>156</v>
      </c>
      <c r="B88" s="0" t="s">
        <v>65</v>
      </c>
      <c r="C88" s="0" t="s">
        <v>66</v>
      </c>
      <c r="D88" s="0" t="s">
        <v>67</v>
      </c>
      <c r="E88" s="0" t="n">
        <v>3</v>
      </c>
      <c r="F88" s="0" t="n">
        <v>400</v>
      </c>
      <c r="G88" s="0" t="n">
        <f aca="false">E88*F88</f>
        <v>1200</v>
      </c>
      <c r="H88" s="0" t="s">
        <v>56</v>
      </c>
      <c r="I88" s="0" t="s">
        <v>57</v>
      </c>
    </row>
    <row r="89" customFormat="false" ht="15" hidden="false" customHeight="false" outlineLevel="0" collapsed="false">
      <c r="A89" s="0" t="s">
        <v>157</v>
      </c>
      <c r="B89" s="0" t="s">
        <v>71</v>
      </c>
      <c r="C89" s="0" t="s">
        <v>72</v>
      </c>
      <c r="D89" s="0" t="s">
        <v>73</v>
      </c>
      <c r="E89" s="0" t="n">
        <v>4</v>
      </c>
      <c r="F89" s="0" t="n">
        <v>100</v>
      </c>
      <c r="G89" s="0" t="n">
        <f aca="false">E89*F89</f>
        <v>400</v>
      </c>
      <c r="H89" s="0" t="s">
        <v>62</v>
      </c>
      <c r="I89" s="0" t="s">
        <v>63</v>
      </c>
    </row>
    <row r="90" customFormat="false" ht="15" hidden="false" customHeight="false" outlineLevel="0" collapsed="false">
      <c r="A90" s="0" t="s">
        <v>158</v>
      </c>
      <c r="B90" s="0" t="s">
        <v>53</v>
      </c>
      <c r="C90" s="0" t="s">
        <v>54</v>
      </c>
      <c r="D90" s="0" t="s">
        <v>55</v>
      </c>
      <c r="E90" s="0" t="n">
        <v>5</v>
      </c>
      <c r="F90" s="0" t="n">
        <v>200</v>
      </c>
      <c r="G90" s="0" t="n">
        <f aca="false">E90*F90</f>
        <v>1000</v>
      </c>
      <c r="H90" s="0" t="s">
        <v>68</v>
      </c>
      <c r="I90" s="0" t="s">
        <v>69</v>
      </c>
    </row>
    <row r="91" customFormat="false" ht="15" hidden="false" customHeight="false" outlineLevel="0" collapsed="false">
      <c r="A91" s="0" t="s">
        <v>159</v>
      </c>
      <c r="B91" s="0" t="s">
        <v>59</v>
      </c>
      <c r="C91" s="0" t="s">
        <v>60</v>
      </c>
      <c r="D91" s="0" t="s">
        <v>61</v>
      </c>
      <c r="E91" s="0" t="n">
        <v>1</v>
      </c>
      <c r="F91" s="0" t="n">
        <v>300</v>
      </c>
      <c r="G91" s="0" t="n">
        <f aca="false">E91*F91</f>
        <v>300</v>
      </c>
      <c r="H91" s="0" t="s">
        <v>56</v>
      </c>
      <c r="I91" s="0" t="s">
        <v>57</v>
      </c>
    </row>
    <row r="92" customFormat="false" ht="15" hidden="false" customHeight="false" outlineLevel="0" collapsed="false">
      <c r="A92" s="0" t="s">
        <v>160</v>
      </c>
      <c r="B92" s="0" t="s">
        <v>65</v>
      </c>
      <c r="C92" s="0" t="s">
        <v>66</v>
      </c>
      <c r="D92" s="0" t="s">
        <v>67</v>
      </c>
      <c r="E92" s="0" t="n">
        <v>2</v>
      </c>
      <c r="F92" s="0" t="n">
        <v>400</v>
      </c>
      <c r="G92" s="0" t="n">
        <f aca="false">E92*F92</f>
        <v>800</v>
      </c>
      <c r="H92" s="0" t="s">
        <v>62</v>
      </c>
      <c r="I92" s="0" t="s">
        <v>63</v>
      </c>
    </row>
    <row r="93" customFormat="false" ht="15" hidden="false" customHeight="false" outlineLevel="0" collapsed="false">
      <c r="A93" s="0" t="s">
        <v>161</v>
      </c>
      <c r="B93" s="0" t="s">
        <v>71</v>
      </c>
      <c r="C93" s="0" t="s">
        <v>72</v>
      </c>
      <c r="D93" s="0" t="s">
        <v>73</v>
      </c>
      <c r="E93" s="0" t="n">
        <v>3</v>
      </c>
      <c r="F93" s="0" t="n">
        <v>100</v>
      </c>
      <c r="G93" s="0" t="n">
        <f aca="false">E93*F93</f>
        <v>300</v>
      </c>
      <c r="H93" s="0" t="s">
        <v>68</v>
      </c>
      <c r="I93" s="0" t="s">
        <v>69</v>
      </c>
    </row>
    <row r="94" customFormat="false" ht="15" hidden="false" customHeight="false" outlineLevel="0" collapsed="false">
      <c r="A94" s="0" t="s">
        <v>162</v>
      </c>
      <c r="B94" s="0" t="s">
        <v>53</v>
      </c>
      <c r="C94" s="0" t="s">
        <v>54</v>
      </c>
      <c r="D94" s="0" t="s">
        <v>55</v>
      </c>
      <c r="E94" s="0" t="n">
        <v>4</v>
      </c>
      <c r="F94" s="0" t="n">
        <v>200</v>
      </c>
      <c r="G94" s="0" t="n">
        <f aca="false">E94*F94</f>
        <v>800</v>
      </c>
      <c r="H94" s="0" t="s">
        <v>56</v>
      </c>
      <c r="I94" s="0" t="s">
        <v>57</v>
      </c>
    </row>
    <row r="95" customFormat="false" ht="15" hidden="false" customHeight="false" outlineLevel="0" collapsed="false">
      <c r="A95" s="0" t="s">
        <v>163</v>
      </c>
      <c r="B95" s="0" t="s">
        <v>59</v>
      </c>
      <c r="C95" s="0" t="s">
        <v>60</v>
      </c>
      <c r="D95" s="0" t="s">
        <v>61</v>
      </c>
      <c r="E95" s="0" t="n">
        <v>5</v>
      </c>
      <c r="F95" s="0" t="n">
        <v>300</v>
      </c>
      <c r="G95" s="0" t="n">
        <f aca="false">E95*F95</f>
        <v>1500</v>
      </c>
      <c r="H95" s="0" t="s">
        <v>62</v>
      </c>
      <c r="I95" s="0" t="s">
        <v>63</v>
      </c>
    </row>
    <row r="96" customFormat="false" ht="15" hidden="false" customHeight="false" outlineLevel="0" collapsed="false">
      <c r="A96" s="0" t="s">
        <v>164</v>
      </c>
      <c r="B96" s="0" t="s">
        <v>65</v>
      </c>
      <c r="C96" s="0" t="s">
        <v>66</v>
      </c>
      <c r="D96" s="0" t="s">
        <v>67</v>
      </c>
      <c r="E96" s="0" t="n">
        <v>1</v>
      </c>
      <c r="F96" s="0" t="n">
        <v>400</v>
      </c>
      <c r="G96" s="0" t="n">
        <f aca="false">E96*F96</f>
        <v>400</v>
      </c>
      <c r="H96" s="0" t="s">
        <v>68</v>
      </c>
      <c r="I96" s="0" t="s">
        <v>69</v>
      </c>
    </row>
    <row r="97" customFormat="false" ht="15" hidden="false" customHeight="false" outlineLevel="0" collapsed="false">
      <c r="A97" s="0" t="s">
        <v>165</v>
      </c>
      <c r="B97" s="0" t="s">
        <v>71</v>
      </c>
      <c r="C97" s="0" t="s">
        <v>72</v>
      </c>
      <c r="D97" s="0" t="s">
        <v>73</v>
      </c>
      <c r="E97" s="0" t="n">
        <v>2</v>
      </c>
      <c r="F97" s="0" t="n">
        <v>100</v>
      </c>
      <c r="G97" s="0" t="n">
        <f aca="false">E97*F97</f>
        <v>200</v>
      </c>
      <c r="H97" s="0" t="s">
        <v>56</v>
      </c>
      <c r="I97" s="0" t="s">
        <v>57</v>
      </c>
    </row>
    <row r="98" customFormat="false" ht="15" hidden="false" customHeight="false" outlineLevel="0" collapsed="false">
      <c r="A98" s="0" t="s">
        <v>166</v>
      </c>
      <c r="B98" s="0" t="s">
        <v>53</v>
      </c>
      <c r="C98" s="0" t="s">
        <v>54</v>
      </c>
      <c r="D98" s="0" t="s">
        <v>55</v>
      </c>
      <c r="E98" s="0" t="n">
        <v>3</v>
      </c>
      <c r="F98" s="0" t="n">
        <v>200</v>
      </c>
      <c r="G98" s="0" t="n">
        <f aca="false">E98*F98</f>
        <v>600</v>
      </c>
      <c r="H98" s="0" t="s">
        <v>62</v>
      </c>
      <c r="I98" s="0" t="s">
        <v>63</v>
      </c>
    </row>
    <row r="99" customFormat="false" ht="15" hidden="false" customHeight="false" outlineLevel="0" collapsed="false">
      <c r="A99" s="0" t="s">
        <v>167</v>
      </c>
      <c r="B99" s="0" t="s">
        <v>59</v>
      </c>
      <c r="C99" s="0" t="s">
        <v>60</v>
      </c>
      <c r="D99" s="0" t="s">
        <v>61</v>
      </c>
      <c r="E99" s="0" t="n">
        <v>4</v>
      </c>
      <c r="F99" s="0" t="n">
        <v>300</v>
      </c>
      <c r="G99" s="0" t="n">
        <f aca="false">E99*F99</f>
        <v>1200</v>
      </c>
      <c r="H99" s="0" t="s">
        <v>68</v>
      </c>
      <c r="I99" s="0" t="s">
        <v>69</v>
      </c>
    </row>
    <row r="100" customFormat="false" ht="15" hidden="false" customHeight="false" outlineLevel="0" collapsed="false">
      <c r="A100" s="0" t="s">
        <v>168</v>
      </c>
      <c r="B100" s="0" t="s">
        <v>65</v>
      </c>
      <c r="C100" s="0" t="s">
        <v>66</v>
      </c>
      <c r="D100" s="0" t="s">
        <v>67</v>
      </c>
      <c r="E100" s="0" t="n">
        <v>5</v>
      </c>
      <c r="F100" s="0" t="n">
        <v>400</v>
      </c>
      <c r="G100" s="0" t="n">
        <f aca="false">E100*F100</f>
        <v>2000</v>
      </c>
      <c r="H100" s="0" t="s">
        <v>56</v>
      </c>
      <c r="I100" s="0" t="s">
        <v>57</v>
      </c>
    </row>
    <row r="101" customFormat="false" ht="15" hidden="false" customHeight="false" outlineLevel="0" collapsed="false">
      <c r="A101" s="0" t="s">
        <v>169</v>
      </c>
      <c r="B101" s="0" t="s">
        <v>71</v>
      </c>
      <c r="C101" s="0" t="s">
        <v>72</v>
      </c>
      <c r="D101" s="0" t="s">
        <v>73</v>
      </c>
      <c r="E101" s="0" t="n">
        <v>1</v>
      </c>
      <c r="F101" s="0" t="n">
        <v>100</v>
      </c>
      <c r="G101" s="0" t="n">
        <f aca="false">E101*F101</f>
        <v>100</v>
      </c>
      <c r="H101" s="0" t="s">
        <v>62</v>
      </c>
      <c r="I101" s="0" t="s">
        <v>63</v>
      </c>
    </row>
    <row r="102" customFormat="false" ht="15" hidden="false" customHeight="false" outlineLevel="0" collapsed="false">
      <c r="A102" s="0" t="s">
        <v>170</v>
      </c>
      <c r="B102" s="0" t="s">
        <v>53</v>
      </c>
      <c r="C102" s="0" t="s">
        <v>54</v>
      </c>
      <c r="D102" s="0" t="s">
        <v>55</v>
      </c>
      <c r="E102" s="0" t="n">
        <v>2</v>
      </c>
      <c r="F102" s="0" t="n">
        <v>200</v>
      </c>
      <c r="G102" s="0" t="n">
        <f aca="false">E102*F102</f>
        <v>400</v>
      </c>
      <c r="H102" s="0" t="s">
        <v>56</v>
      </c>
      <c r="I102" s="0" t="s">
        <v>57</v>
      </c>
    </row>
    <row r="103" customFormat="false" ht="15" hidden="false" customHeight="false" outlineLevel="0" collapsed="false">
      <c r="A103" s="0" t="s">
        <v>171</v>
      </c>
      <c r="B103" s="0" t="s">
        <v>59</v>
      </c>
      <c r="C103" s="0" t="s">
        <v>60</v>
      </c>
      <c r="D103" s="0" t="s">
        <v>61</v>
      </c>
      <c r="E103" s="0" t="n">
        <v>3</v>
      </c>
      <c r="F103" s="0" t="n">
        <v>300</v>
      </c>
      <c r="G103" s="0" t="n">
        <f aca="false">E103*F103</f>
        <v>900</v>
      </c>
      <c r="H103" s="0" t="s">
        <v>62</v>
      </c>
      <c r="I103" s="0" t="s">
        <v>63</v>
      </c>
    </row>
    <row r="104" customFormat="false" ht="15" hidden="false" customHeight="false" outlineLevel="0" collapsed="false">
      <c r="A104" s="0" t="s">
        <v>172</v>
      </c>
      <c r="B104" s="0" t="s">
        <v>65</v>
      </c>
      <c r="C104" s="0" t="s">
        <v>66</v>
      </c>
      <c r="D104" s="0" t="s">
        <v>67</v>
      </c>
      <c r="E104" s="0" t="n">
        <v>4</v>
      </c>
      <c r="F104" s="0" t="n">
        <v>400</v>
      </c>
      <c r="G104" s="0" t="n">
        <f aca="false">E104*F104</f>
        <v>1600</v>
      </c>
      <c r="H104" s="0" t="s">
        <v>68</v>
      </c>
      <c r="I104" s="0" t="s">
        <v>69</v>
      </c>
    </row>
    <row r="105" customFormat="false" ht="15" hidden="false" customHeight="false" outlineLevel="0" collapsed="false">
      <c r="A105" s="0" t="s">
        <v>173</v>
      </c>
      <c r="B105" s="0" t="s">
        <v>71</v>
      </c>
      <c r="C105" s="0" t="s">
        <v>72</v>
      </c>
      <c r="D105" s="0" t="s">
        <v>73</v>
      </c>
      <c r="E105" s="0" t="n">
        <v>5</v>
      </c>
      <c r="F105" s="0" t="n">
        <v>100</v>
      </c>
      <c r="G105" s="0" t="n">
        <f aca="false">E105*F105</f>
        <v>500</v>
      </c>
      <c r="H105" s="0" t="s">
        <v>56</v>
      </c>
      <c r="I105" s="0" t="s">
        <v>57</v>
      </c>
    </row>
    <row r="106" customFormat="false" ht="15" hidden="false" customHeight="false" outlineLevel="0" collapsed="false">
      <c r="A106" s="0" t="s">
        <v>174</v>
      </c>
      <c r="B106" s="0" t="s">
        <v>53</v>
      </c>
      <c r="C106" s="0" t="s">
        <v>54</v>
      </c>
      <c r="D106" s="0" t="s">
        <v>55</v>
      </c>
      <c r="E106" s="0" t="n">
        <v>1</v>
      </c>
      <c r="F106" s="0" t="n">
        <v>200</v>
      </c>
      <c r="G106" s="0" t="n">
        <f aca="false">E106*F106</f>
        <v>200</v>
      </c>
      <c r="H106" s="0" t="s">
        <v>62</v>
      </c>
      <c r="I106" s="0" t="s">
        <v>63</v>
      </c>
    </row>
    <row r="107" customFormat="false" ht="15" hidden="false" customHeight="false" outlineLevel="0" collapsed="false">
      <c r="A107" s="0" t="s">
        <v>175</v>
      </c>
      <c r="B107" s="0" t="s">
        <v>59</v>
      </c>
      <c r="C107" s="0" t="s">
        <v>60</v>
      </c>
      <c r="D107" s="0" t="s">
        <v>61</v>
      </c>
      <c r="E107" s="0" t="n">
        <v>2</v>
      </c>
      <c r="F107" s="0" t="n">
        <v>300</v>
      </c>
      <c r="G107" s="0" t="n">
        <f aca="false">E107*F107</f>
        <v>600</v>
      </c>
      <c r="H107" s="0" t="s">
        <v>68</v>
      </c>
      <c r="I107" s="0" t="s">
        <v>69</v>
      </c>
    </row>
    <row r="108" customFormat="false" ht="15" hidden="false" customHeight="false" outlineLevel="0" collapsed="false">
      <c r="A108" s="0" t="s">
        <v>176</v>
      </c>
      <c r="B108" s="0" t="s">
        <v>65</v>
      </c>
      <c r="C108" s="0" t="s">
        <v>66</v>
      </c>
      <c r="D108" s="0" t="s">
        <v>67</v>
      </c>
      <c r="E108" s="0" t="n">
        <v>3</v>
      </c>
      <c r="F108" s="0" t="n">
        <v>400</v>
      </c>
      <c r="G108" s="0" t="n">
        <f aca="false">E108*F108</f>
        <v>1200</v>
      </c>
      <c r="H108" s="0" t="s">
        <v>56</v>
      </c>
      <c r="I108" s="0" t="s">
        <v>57</v>
      </c>
    </row>
    <row r="109" customFormat="false" ht="15" hidden="false" customHeight="false" outlineLevel="0" collapsed="false">
      <c r="A109" s="0" t="s">
        <v>177</v>
      </c>
      <c r="B109" s="0" t="s">
        <v>71</v>
      </c>
      <c r="C109" s="0" t="s">
        <v>72</v>
      </c>
      <c r="D109" s="0" t="s">
        <v>73</v>
      </c>
      <c r="E109" s="0" t="n">
        <v>4</v>
      </c>
      <c r="F109" s="0" t="n">
        <v>100</v>
      </c>
      <c r="G109" s="0" t="n">
        <f aca="false">E109*F109</f>
        <v>400</v>
      </c>
      <c r="H109" s="0" t="s">
        <v>62</v>
      </c>
      <c r="I109" s="0" t="s">
        <v>63</v>
      </c>
    </row>
    <row r="110" customFormat="false" ht="15" hidden="false" customHeight="false" outlineLevel="0" collapsed="false">
      <c r="A110" s="0" t="s">
        <v>178</v>
      </c>
      <c r="B110" s="0" t="s">
        <v>53</v>
      </c>
      <c r="C110" s="0" t="s">
        <v>54</v>
      </c>
      <c r="D110" s="0" t="s">
        <v>55</v>
      </c>
      <c r="E110" s="0" t="n">
        <v>5</v>
      </c>
      <c r="F110" s="0" t="n">
        <v>200</v>
      </c>
      <c r="G110" s="0" t="n">
        <f aca="false">E110*F110</f>
        <v>1000</v>
      </c>
      <c r="H110" s="0" t="s">
        <v>68</v>
      </c>
      <c r="I110" s="0" t="s">
        <v>69</v>
      </c>
    </row>
    <row r="111" customFormat="false" ht="15" hidden="false" customHeight="false" outlineLevel="0" collapsed="false">
      <c r="A111" s="0" t="s">
        <v>179</v>
      </c>
      <c r="B111" s="0" t="s">
        <v>59</v>
      </c>
      <c r="C111" s="0" t="s">
        <v>60</v>
      </c>
      <c r="D111" s="0" t="s">
        <v>61</v>
      </c>
      <c r="E111" s="0" t="n">
        <v>1</v>
      </c>
      <c r="F111" s="0" t="n">
        <v>300</v>
      </c>
      <c r="G111" s="0" t="n">
        <f aca="false">E111*F111</f>
        <v>300</v>
      </c>
      <c r="H111" s="0" t="s">
        <v>56</v>
      </c>
      <c r="I111" s="0" t="s">
        <v>57</v>
      </c>
    </row>
    <row r="112" customFormat="false" ht="15" hidden="false" customHeight="false" outlineLevel="0" collapsed="false">
      <c r="A112" s="0" t="s">
        <v>180</v>
      </c>
      <c r="B112" s="0" t="s">
        <v>65</v>
      </c>
      <c r="C112" s="0" t="s">
        <v>66</v>
      </c>
      <c r="D112" s="0" t="s">
        <v>67</v>
      </c>
      <c r="E112" s="0" t="n">
        <v>2</v>
      </c>
      <c r="F112" s="0" t="n">
        <v>400</v>
      </c>
      <c r="G112" s="0" t="n">
        <f aca="false">E112*F112</f>
        <v>800</v>
      </c>
      <c r="H112" s="0" t="s">
        <v>62</v>
      </c>
      <c r="I112" s="0" t="s">
        <v>63</v>
      </c>
    </row>
    <row r="113" customFormat="false" ht="15" hidden="false" customHeight="false" outlineLevel="0" collapsed="false">
      <c r="A113" s="0" t="s">
        <v>181</v>
      </c>
      <c r="B113" s="0" t="s">
        <v>71</v>
      </c>
      <c r="C113" s="0" t="s">
        <v>72</v>
      </c>
      <c r="D113" s="0" t="s">
        <v>73</v>
      </c>
      <c r="E113" s="0" t="n">
        <v>3</v>
      </c>
      <c r="F113" s="0" t="n">
        <v>100</v>
      </c>
      <c r="G113" s="0" t="n">
        <f aca="false">E113*F113</f>
        <v>300</v>
      </c>
      <c r="H113" s="0" t="s">
        <v>68</v>
      </c>
      <c r="I113" s="0" t="s">
        <v>69</v>
      </c>
    </row>
    <row r="114" customFormat="false" ht="15" hidden="false" customHeight="false" outlineLevel="0" collapsed="false">
      <c r="A114" s="0" t="s">
        <v>182</v>
      </c>
      <c r="B114" s="0" t="s">
        <v>53</v>
      </c>
      <c r="C114" s="0" t="s">
        <v>54</v>
      </c>
      <c r="D114" s="0" t="s">
        <v>55</v>
      </c>
      <c r="E114" s="0" t="n">
        <v>4</v>
      </c>
      <c r="F114" s="0" t="n">
        <v>200</v>
      </c>
      <c r="G114" s="0" t="n">
        <f aca="false">E114*F114</f>
        <v>800</v>
      </c>
      <c r="H114" s="0" t="s">
        <v>56</v>
      </c>
      <c r="I114" s="0" t="s">
        <v>57</v>
      </c>
    </row>
    <row r="115" customFormat="false" ht="15" hidden="false" customHeight="false" outlineLevel="0" collapsed="false">
      <c r="A115" s="0" t="s">
        <v>183</v>
      </c>
      <c r="B115" s="0" t="s">
        <v>59</v>
      </c>
      <c r="C115" s="0" t="s">
        <v>60</v>
      </c>
      <c r="D115" s="0" t="s">
        <v>61</v>
      </c>
      <c r="E115" s="0" t="n">
        <v>5</v>
      </c>
      <c r="F115" s="0" t="n">
        <v>300</v>
      </c>
      <c r="G115" s="0" t="n">
        <f aca="false">E115*F115</f>
        <v>1500</v>
      </c>
      <c r="H115" s="0" t="s">
        <v>62</v>
      </c>
      <c r="I115" s="0" t="s">
        <v>63</v>
      </c>
    </row>
    <row r="116" customFormat="false" ht="15" hidden="false" customHeight="false" outlineLevel="0" collapsed="false">
      <c r="A116" s="0" t="s">
        <v>184</v>
      </c>
      <c r="B116" s="0" t="s">
        <v>65</v>
      </c>
      <c r="C116" s="0" t="s">
        <v>66</v>
      </c>
      <c r="D116" s="0" t="s">
        <v>67</v>
      </c>
      <c r="E116" s="0" t="n">
        <v>1</v>
      </c>
      <c r="F116" s="0" t="n">
        <v>400</v>
      </c>
      <c r="G116" s="0" t="n">
        <f aca="false">E116*F116</f>
        <v>400</v>
      </c>
      <c r="H116" s="0" t="s">
        <v>68</v>
      </c>
      <c r="I116" s="0" t="s">
        <v>69</v>
      </c>
    </row>
    <row r="117" customFormat="false" ht="15" hidden="false" customHeight="false" outlineLevel="0" collapsed="false">
      <c r="A117" s="0" t="s">
        <v>185</v>
      </c>
      <c r="B117" s="0" t="s">
        <v>71</v>
      </c>
      <c r="C117" s="0" t="s">
        <v>72</v>
      </c>
      <c r="D117" s="0" t="s">
        <v>73</v>
      </c>
      <c r="E117" s="0" t="n">
        <v>2</v>
      </c>
      <c r="F117" s="0" t="n">
        <v>100</v>
      </c>
      <c r="G117" s="0" t="n">
        <f aca="false">E117*F117</f>
        <v>200</v>
      </c>
      <c r="H117" s="0" t="s">
        <v>56</v>
      </c>
      <c r="I117" s="0" t="s">
        <v>57</v>
      </c>
    </row>
    <row r="118" customFormat="false" ht="15" hidden="false" customHeight="false" outlineLevel="0" collapsed="false">
      <c r="A118" s="0" t="s">
        <v>186</v>
      </c>
      <c r="B118" s="0" t="s">
        <v>53</v>
      </c>
      <c r="C118" s="0" t="s">
        <v>54</v>
      </c>
      <c r="D118" s="0" t="s">
        <v>55</v>
      </c>
      <c r="E118" s="0" t="n">
        <v>3</v>
      </c>
      <c r="F118" s="0" t="n">
        <v>200</v>
      </c>
      <c r="G118" s="0" t="n">
        <f aca="false">E118*F118</f>
        <v>600</v>
      </c>
      <c r="H118" s="0" t="s">
        <v>62</v>
      </c>
      <c r="I118" s="0" t="s">
        <v>63</v>
      </c>
    </row>
    <row r="119" customFormat="false" ht="15" hidden="false" customHeight="false" outlineLevel="0" collapsed="false">
      <c r="A119" s="0" t="s">
        <v>187</v>
      </c>
      <c r="B119" s="0" t="s">
        <v>59</v>
      </c>
      <c r="C119" s="0" t="s">
        <v>60</v>
      </c>
      <c r="D119" s="0" t="s">
        <v>61</v>
      </c>
      <c r="E119" s="0" t="n">
        <v>4</v>
      </c>
      <c r="F119" s="0" t="n">
        <v>300</v>
      </c>
      <c r="G119" s="0" t="n">
        <f aca="false">E119*F119</f>
        <v>1200</v>
      </c>
      <c r="H119" s="0" t="s">
        <v>68</v>
      </c>
      <c r="I119" s="0" t="s">
        <v>69</v>
      </c>
    </row>
    <row r="120" customFormat="false" ht="15" hidden="false" customHeight="false" outlineLevel="0" collapsed="false">
      <c r="A120" s="0" t="s">
        <v>188</v>
      </c>
      <c r="B120" s="0" t="s">
        <v>65</v>
      </c>
      <c r="C120" s="0" t="s">
        <v>66</v>
      </c>
      <c r="D120" s="0" t="s">
        <v>67</v>
      </c>
      <c r="E120" s="0" t="n">
        <v>5</v>
      </c>
      <c r="F120" s="0" t="n">
        <v>400</v>
      </c>
      <c r="G120" s="0" t="n">
        <f aca="false">E120*F120</f>
        <v>2000</v>
      </c>
      <c r="H120" s="0" t="s">
        <v>56</v>
      </c>
      <c r="I120" s="0" t="s">
        <v>57</v>
      </c>
    </row>
    <row r="121" customFormat="false" ht="15" hidden="false" customHeight="false" outlineLevel="0" collapsed="false">
      <c r="A121" s="0" t="s">
        <v>189</v>
      </c>
      <c r="B121" s="0" t="s">
        <v>71</v>
      </c>
      <c r="C121" s="0" t="s">
        <v>72</v>
      </c>
      <c r="D121" s="0" t="s">
        <v>73</v>
      </c>
      <c r="E121" s="0" t="n">
        <v>1</v>
      </c>
      <c r="F121" s="0" t="n">
        <v>100</v>
      </c>
      <c r="G121" s="0" t="n">
        <f aca="false">E121*F121</f>
        <v>100</v>
      </c>
      <c r="H121" s="0" t="s">
        <v>62</v>
      </c>
      <c r="I121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9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45</v>
      </c>
      <c r="B1" s="10" t="s">
        <v>190</v>
      </c>
      <c r="C1" s="10" t="s">
        <v>191</v>
      </c>
      <c r="D1" s="10" t="s">
        <v>192</v>
      </c>
      <c r="E1" s="10" t="s">
        <v>193</v>
      </c>
      <c r="F1" s="10" t="s">
        <v>194</v>
      </c>
      <c r="G1" s="10" t="s">
        <v>195</v>
      </c>
      <c r="H1" s="10" t="s">
        <v>196</v>
      </c>
    </row>
    <row r="2" customFormat="false" ht="15" hidden="false" customHeight="false" outlineLevel="0" collapsed="false">
      <c r="A2" s="9" t="s">
        <v>54</v>
      </c>
      <c r="B2" s="9" t="s">
        <v>197</v>
      </c>
      <c r="C2" s="9" t="s">
        <v>198</v>
      </c>
      <c r="D2" s="11" t="n">
        <v>200</v>
      </c>
      <c r="E2" s="11" t="n">
        <v>130</v>
      </c>
      <c r="F2" s="12" t="n">
        <f aca="false">(D2-E2)/D2</f>
        <v>0.35</v>
      </c>
      <c r="G2" s="13" t="n">
        <v>44986</v>
      </c>
      <c r="H2" s="9" t="s">
        <v>199</v>
      </c>
    </row>
    <row r="3" customFormat="false" ht="15" hidden="false" customHeight="false" outlineLevel="0" collapsed="false">
      <c r="A3" s="9" t="s">
        <v>60</v>
      </c>
      <c r="B3" s="9" t="s">
        <v>200</v>
      </c>
      <c r="C3" s="9" t="s">
        <v>198</v>
      </c>
      <c r="D3" s="11" t="n">
        <v>300</v>
      </c>
      <c r="E3" s="11" t="n">
        <v>195</v>
      </c>
      <c r="F3" s="12" t="n">
        <f aca="false">(D3-E3)/D3</f>
        <v>0.35</v>
      </c>
      <c r="G3" s="13" t="n">
        <v>40210</v>
      </c>
      <c r="H3" s="9" t="s">
        <v>199</v>
      </c>
    </row>
    <row r="4" customFormat="false" ht="15" hidden="false" customHeight="false" outlineLevel="0" collapsed="false">
      <c r="A4" s="9" t="s">
        <v>66</v>
      </c>
      <c r="B4" s="9" t="s">
        <v>201</v>
      </c>
      <c r="C4" s="9" t="s">
        <v>198</v>
      </c>
      <c r="D4" s="11" t="n">
        <v>400</v>
      </c>
      <c r="E4" s="11" t="n">
        <v>240</v>
      </c>
      <c r="F4" s="12" t="n">
        <f aca="false">(D4-E4)/D4</f>
        <v>0.4</v>
      </c>
      <c r="G4" s="13" t="n">
        <v>40722</v>
      </c>
      <c r="H4" s="9" t="s">
        <v>199</v>
      </c>
    </row>
    <row r="5" customFormat="false" ht="15" hidden="false" customHeight="false" outlineLevel="0" collapsed="false">
      <c r="A5" s="9" t="s">
        <v>72</v>
      </c>
      <c r="B5" s="9" t="s">
        <v>202</v>
      </c>
      <c r="C5" s="9" t="s">
        <v>198</v>
      </c>
      <c r="D5" s="11" t="n">
        <v>100</v>
      </c>
      <c r="E5" s="11" t="n">
        <v>55</v>
      </c>
      <c r="F5" s="12" t="n">
        <f aca="false">(D5-E5)/D5</f>
        <v>0.45</v>
      </c>
      <c r="G5" s="13" t="n">
        <v>42209</v>
      </c>
      <c r="H5" s="9" t="s">
        <v>199</v>
      </c>
    </row>
    <row r="6" customFormat="false" ht="15" hidden="false" customHeight="false" outlineLevel="0" collapsed="false">
      <c r="A6" s="9" t="s">
        <v>203</v>
      </c>
      <c r="B6" s="9" t="s">
        <v>201</v>
      </c>
      <c r="C6" s="9" t="s">
        <v>198</v>
      </c>
      <c r="D6" s="11" t="n">
        <v>150</v>
      </c>
      <c r="E6" s="11" t="n">
        <v>90</v>
      </c>
      <c r="F6" s="12" t="n">
        <f aca="false">(D6-E6)/D6</f>
        <v>0.4</v>
      </c>
      <c r="G6" s="13" t="n">
        <v>42808</v>
      </c>
      <c r="H6" s="9" t="s">
        <v>199</v>
      </c>
    </row>
    <row r="7" customFormat="false" ht="15" hidden="false" customHeight="false" outlineLevel="0" collapsed="false">
      <c r="A7" s="9" t="s">
        <v>204</v>
      </c>
      <c r="B7" s="9" t="s">
        <v>205</v>
      </c>
      <c r="C7" s="9" t="s">
        <v>198</v>
      </c>
      <c r="D7" s="11" t="n">
        <v>500</v>
      </c>
      <c r="E7" s="11" t="n">
        <v>340</v>
      </c>
      <c r="F7" s="12" t="n">
        <f aca="false">(D7-E7)/D7</f>
        <v>0.32</v>
      </c>
      <c r="G7" s="13" t="n">
        <v>42675</v>
      </c>
      <c r="H7" s="9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26"/>
    <col collapsed="false" customWidth="true" hidden="false" outlineLevel="0" max="6" min="6" style="0" width="17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0" t="s">
        <v>46</v>
      </c>
      <c r="B1" s="10" t="s">
        <v>44</v>
      </c>
      <c r="C1" s="10" t="s">
        <v>207</v>
      </c>
      <c r="D1" s="10" t="s">
        <v>208</v>
      </c>
      <c r="E1" s="10" t="s">
        <v>209</v>
      </c>
      <c r="F1" s="10" t="s">
        <v>210</v>
      </c>
      <c r="G1" s="10" t="s">
        <v>211</v>
      </c>
      <c r="H1" s="10" t="s">
        <v>212</v>
      </c>
    </row>
    <row r="2" customFormat="false" ht="15" hidden="false" customHeight="false" outlineLevel="0" collapsed="false">
      <c r="A2" s="9" t="s">
        <v>55</v>
      </c>
      <c r="B2" s="9" t="s">
        <v>53</v>
      </c>
      <c r="C2" s="9" t="s">
        <v>54</v>
      </c>
      <c r="D2" s="9" t="s">
        <v>213</v>
      </c>
      <c r="E2" s="9" t="s">
        <v>214</v>
      </c>
      <c r="F2" s="13" t="n">
        <v>44270</v>
      </c>
      <c r="G2" s="12" t="n">
        <v>0.04</v>
      </c>
      <c r="H2" s="11" t="n">
        <v>7500</v>
      </c>
    </row>
    <row r="3" customFormat="false" ht="15" hidden="false" customHeight="false" outlineLevel="0" collapsed="false">
      <c r="A3" s="9" t="s">
        <v>61</v>
      </c>
      <c r="B3" s="9" t="s">
        <v>59</v>
      </c>
      <c r="C3" s="9" t="s">
        <v>60</v>
      </c>
      <c r="D3" s="9" t="s">
        <v>215</v>
      </c>
      <c r="E3" s="9" t="s">
        <v>216</v>
      </c>
      <c r="F3" s="13" t="n">
        <v>44774</v>
      </c>
      <c r="G3" s="12" t="n">
        <v>0.035</v>
      </c>
      <c r="H3" s="11" t="n">
        <v>6200</v>
      </c>
    </row>
    <row r="4" customFormat="false" ht="15" hidden="false" customHeight="false" outlineLevel="0" collapsed="false">
      <c r="A4" s="9" t="s">
        <v>67</v>
      </c>
      <c r="B4" s="9" t="s">
        <v>65</v>
      </c>
      <c r="C4" s="9" t="s">
        <v>66</v>
      </c>
      <c r="D4" s="9" t="s">
        <v>215</v>
      </c>
      <c r="E4" s="9" t="s">
        <v>214</v>
      </c>
      <c r="F4" s="13" t="n">
        <v>43850</v>
      </c>
      <c r="G4" s="12" t="n">
        <v>0.045</v>
      </c>
      <c r="H4" s="11" t="n">
        <v>7800</v>
      </c>
    </row>
    <row r="5" customFormat="false" ht="15" hidden="false" customHeight="false" outlineLevel="0" collapsed="false">
      <c r="A5" s="9" t="s">
        <v>73</v>
      </c>
      <c r="B5" s="9" t="s">
        <v>71</v>
      </c>
      <c r="C5" s="9" t="s">
        <v>72</v>
      </c>
      <c r="D5" s="9" t="s">
        <v>213</v>
      </c>
      <c r="E5" s="9" t="s">
        <v>217</v>
      </c>
      <c r="F5" s="13" t="n">
        <v>45418</v>
      </c>
      <c r="G5" s="12" t="n">
        <v>0.03</v>
      </c>
      <c r="H5" s="11" t="n">
        <v>4800</v>
      </c>
    </row>
    <row r="6" customFormat="false" ht="15" hidden="false" customHeight="false" outlineLevel="0" collapsed="false">
      <c r="A6" s="9" t="s">
        <v>218</v>
      </c>
      <c r="B6" s="9" t="s">
        <v>53</v>
      </c>
      <c r="C6" s="9" t="s">
        <v>203</v>
      </c>
      <c r="D6" s="9" t="s">
        <v>213</v>
      </c>
      <c r="E6" s="9" t="s">
        <v>217</v>
      </c>
      <c r="F6" s="13" t="n">
        <v>45698</v>
      </c>
      <c r="G6" s="12" t="n">
        <v>0.03</v>
      </c>
      <c r="H6" s="11" t="n">
        <v>4500</v>
      </c>
    </row>
    <row r="7" customFormat="false" ht="15" hidden="false" customHeight="false" outlineLevel="0" collapsed="false">
      <c r="A7" s="9" t="s">
        <v>219</v>
      </c>
      <c r="B7" s="9" t="s">
        <v>71</v>
      </c>
      <c r="C7" s="9" t="s">
        <v>204</v>
      </c>
      <c r="D7" s="9" t="s">
        <v>213</v>
      </c>
      <c r="E7" s="9" t="s">
        <v>216</v>
      </c>
      <c r="F7" s="13" t="n">
        <v>45173</v>
      </c>
      <c r="G7" s="12" t="n">
        <v>0.035</v>
      </c>
      <c r="H7" s="11" t="n">
        <v>6000</v>
      </c>
    </row>
    <row r="8" customFormat="false" ht="15" hidden="false" customHeight="false" outlineLevel="0" collapsed="false">
      <c r="A8" s="9" t="s">
        <v>220</v>
      </c>
      <c r="B8" s="9" t="s">
        <v>59</v>
      </c>
      <c r="C8" s="9" t="s">
        <v>203</v>
      </c>
      <c r="D8" s="9" t="s">
        <v>215</v>
      </c>
      <c r="E8" s="9" t="s">
        <v>217</v>
      </c>
      <c r="F8" s="13" t="n">
        <v>45943</v>
      </c>
      <c r="G8" s="12" t="n">
        <v>0.03</v>
      </c>
      <c r="H8" s="11" t="n"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0" t="s">
        <v>50</v>
      </c>
      <c r="B1" s="10" t="s">
        <v>221</v>
      </c>
      <c r="C1" s="10" t="s">
        <v>222</v>
      </c>
      <c r="D1" s="10" t="s">
        <v>223</v>
      </c>
      <c r="E1" s="10" t="s">
        <v>224</v>
      </c>
    </row>
    <row r="2" customFormat="false" ht="15" hidden="false" customHeight="false" outlineLevel="0" collapsed="false">
      <c r="A2" s="9" t="s">
        <v>68</v>
      </c>
      <c r="B2" s="9" t="s">
        <v>225</v>
      </c>
      <c r="C2" s="9" t="s">
        <v>226</v>
      </c>
      <c r="D2" s="9" t="s">
        <v>227</v>
      </c>
      <c r="E2" s="11" t="n">
        <v>33000</v>
      </c>
    </row>
    <row r="3" customFormat="false" ht="15" hidden="false" customHeight="false" outlineLevel="0" collapsed="false">
      <c r="A3" s="9" t="s">
        <v>56</v>
      </c>
      <c r="B3" s="9" t="s">
        <v>228</v>
      </c>
      <c r="C3" s="9" t="s">
        <v>226</v>
      </c>
      <c r="D3" s="9" t="s">
        <v>229</v>
      </c>
      <c r="E3" s="11" t="n">
        <v>30000</v>
      </c>
    </row>
    <row r="4" customFormat="false" ht="15" hidden="false" customHeight="false" outlineLevel="0" collapsed="false">
      <c r="A4" s="9" t="s">
        <v>62</v>
      </c>
      <c r="B4" s="9" t="s">
        <v>230</v>
      </c>
      <c r="C4" s="9" t="s">
        <v>226</v>
      </c>
      <c r="D4" s="9" t="s">
        <v>231</v>
      </c>
      <c r="E4" s="11" t="n">
        <v>28500</v>
      </c>
    </row>
    <row r="5" customFormat="false" ht="15" hidden="false" customHeight="false" outlineLevel="0" collapsed="false">
      <c r="A5" s="9" t="s">
        <v>232</v>
      </c>
      <c r="B5" s="9" t="s">
        <v>233</v>
      </c>
      <c r="C5" s="9" t="s">
        <v>234</v>
      </c>
      <c r="D5" s="9" t="s">
        <v>235</v>
      </c>
      <c r="E5" s="11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0" t="s">
        <v>51</v>
      </c>
      <c r="B1" s="10" t="s">
        <v>236</v>
      </c>
      <c r="C1" s="10" t="s">
        <v>237</v>
      </c>
      <c r="D1" s="10" t="s">
        <v>238</v>
      </c>
    </row>
    <row r="2" customFormat="false" ht="15" hidden="false" customHeight="false" outlineLevel="0" collapsed="false">
      <c r="A2" s="14" t="s">
        <v>69</v>
      </c>
      <c r="B2" s="9" t="s">
        <v>239</v>
      </c>
      <c r="C2" s="9" t="s">
        <v>240</v>
      </c>
      <c r="D2" s="9" t="s">
        <v>241</v>
      </c>
    </row>
    <row r="3" customFormat="false" ht="15" hidden="false" customHeight="false" outlineLevel="0" collapsed="false">
      <c r="A3" s="14" t="s">
        <v>57</v>
      </c>
      <c r="B3" s="9" t="s">
        <v>242</v>
      </c>
      <c r="C3" s="9" t="s">
        <v>240</v>
      </c>
      <c r="D3" s="9" t="s">
        <v>241</v>
      </c>
    </row>
    <row r="4" customFormat="false" ht="15" hidden="false" customHeight="false" outlineLevel="0" collapsed="false">
      <c r="A4" s="14" t="s">
        <v>63</v>
      </c>
      <c r="B4" s="9" t="s">
        <v>243</v>
      </c>
      <c r="C4" s="9" t="s">
        <v>240</v>
      </c>
      <c r="D4" s="9" t="s">
        <v>241</v>
      </c>
    </row>
    <row r="5" customFormat="false" ht="15" hidden="false" customHeight="false" outlineLevel="0" collapsed="false">
      <c r="A5" s="14" t="s">
        <v>244</v>
      </c>
      <c r="B5" s="9" t="s">
        <v>245</v>
      </c>
      <c r="C5" s="9" t="s">
        <v>240</v>
      </c>
      <c r="D5" s="9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6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0" t="s">
        <v>246</v>
      </c>
      <c r="B1" s="10" t="s">
        <v>44</v>
      </c>
      <c r="C1" s="10" t="s">
        <v>45</v>
      </c>
      <c r="D1" s="10" t="s">
        <v>247</v>
      </c>
      <c r="E1" s="10" t="s">
        <v>192</v>
      </c>
      <c r="F1" s="10" t="s">
        <v>248</v>
      </c>
    </row>
    <row r="2" customFormat="false" ht="15" hidden="false" customHeight="false" outlineLevel="0" collapsed="false">
      <c r="A2" s="15" t="n">
        <v>46023</v>
      </c>
      <c r="B2" s="9" t="s">
        <v>53</v>
      </c>
      <c r="C2" s="9" t="s">
        <v>54</v>
      </c>
      <c r="D2" s="9" t="n">
        <v>13</v>
      </c>
      <c r="E2" s="11" t="n">
        <f aca="false">INDEX(Produtos!$D$2:$D$7,MATCH(C2,Produtos!$A$2:$A$7,0))</f>
        <v>200</v>
      </c>
      <c r="F2" s="11" t="n">
        <f aca="false">D2*E2</f>
        <v>2600</v>
      </c>
    </row>
    <row r="3" customFormat="false" ht="15" hidden="false" customHeight="false" outlineLevel="0" collapsed="false">
      <c r="A3" s="15" t="n">
        <v>46023</v>
      </c>
      <c r="B3" s="9" t="s">
        <v>59</v>
      </c>
      <c r="C3" s="9" t="s">
        <v>60</v>
      </c>
      <c r="D3" s="9" t="n">
        <v>12</v>
      </c>
      <c r="E3" s="11" t="n">
        <f aca="false">INDEX(Produtos!$D$2:$D$7,MATCH(C3,Produtos!$A$2:$A$7,0))</f>
        <v>300</v>
      </c>
      <c r="F3" s="11" t="n">
        <f aca="false">D3*E3</f>
        <v>3600</v>
      </c>
    </row>
    <row r="4" customFormat="false" ht="15" hidden="false" customHeight="false" outlineLevel="0" collapsed="false">
      <c r="A4" s="15" t="n">
        <v>46023</v>
      </c>
      <c r="B4" s="9" t="s">
        <v>65</v>
      </c>
      <c r="C4" s="9" t="s">
        <v>66</v>
      </c>
      <c r="D4" s="9" t="n">
        <v>16</v>
      </c>
      <c r="E4" s="11" t="n">
        <f aca="false">INDEX(Produtos!$D$2:$D$7,MATCH(C4,Produtos!$A$2:$A$7,0))</f>
        <v>400</v>
      </c>
      <c r="F4" s="11" t="n">
        <f aca="false">D4*E4</f>
        <v>6400</v>
      </c>
    </row>
    <row r="5" customFormat="false" ht="15" hidden="false" customHeight="false" outlineLevel="0" collapsed="false">
      <c r="A5" s="15" t="n">
        <v>46023</v>
      </c>
      <c r="B5" s="9" t="s">
        <v>71</v>
      </c>
      <c r="C5" s="9" t="s">
        <v>72</v>
      </c>
      <c r="D5" s="9" t="n">
        <v>15</v>
      </c>
      <c r="E5" s="11" t="n">
        <f aca="false">INDEX(Produtos!$D$2:$D$7,MATCH(C5,Produtos!$A$2:$A$7,0))</f>
        <v>100</v>
      </c>
      <c r="F5" s="11" t="n">
        <f aca="false">D5*E5</f>
        <v>1500</v>
      </c>
    </row>
    <row r="6" customFormat="false" ht="15" hidden="false" customHeight="false" outlineLevel="0" collapsed="false">
      <c r="A6" s="15" t="n">
        <v>46054</v>
      </c>
      <c r="B6" s="9" t="s">
        <v>53</v>
      </c>
      <c r="C6" s="9" t="s">
        <v>54</v>
      </c>
      <c r="D6" s="9" t="n">
        <v>15</v>
      </c>
      <c r="E6" s="11" t="n">
        <f aca="false">INDEX(Produtos!$D$2:$D$7,MATCH(C6,Produtos!$A$2:$A$7,0))</f>
        <v>200</v>
      </c>
      <c r="F6" s="11" t="n">
        <f aca="false">D6*E6</f>
        <v>3000</v>
      </c>
    </row>
    <row r="7" customFormat="false" ht="15" hidden="false" customHeight="false" outlineLevel="0" collapsed="false">
      <c r="A7" s="15" t="n">
        <v>46054</v>
      </c>
      <c r="B7" s="9" t="s">
        <v>59</v>
      </c>
      <c r="C7" s="9" t="s">
        <v>60</v>
      </c>
      <c r="D7" s="9" t="n">
        <v>14</v>
      </c>
      <c r="E7" s="11" t="n">
        <f aca="false">INDEX(Produtos!$D$2:$D$7,MATCH(C7,Produtos!$A$2:$A$7,0))</f>
        <v>300</v>
      </c>
      <c r="F7" s="11" t="n">
        <f aca="false">D7*E7</f>
        <v>4200</v>
      </c>
    </row>
    <row r="8" customFormat="false" ht="15" hidden="false" customHeight="false" outlineLevel="0" collapsed="false">
      <c r="A8" s="15" t="n">
        <v>46054</v>
      </c>
      <c r="B8" s="9" t="s">
        <v>65</v>
      </c>
      <c r="C8" s="9" t="s">
        <v>66</v>
      </c>
      <c r="D8" s="9" t="n">
        <v>13</v>
      </c>
      <c r="E8" s="11" t="n">
        <f aca="false">INDEX(Produtos!$D$2:$D$7,MATCH(C8,Produtos!$A$2:$A$7,0))</f>
        <v>400</v>
      </c>
      <c r="F8" s="11" t="n">
        <f aca="false">D8*E8</f>
        <v>5200</v>
      </c>
    </row>
    <row r="9" customFormat="false" ht="15" hidden="false" customHeight="false" outlineLevel="0" collapsed="false">
      <c r="A9" s="15" t="n">
        <v>46054</v>
      </c>
      <c r="B9" s="9" t="s">
        <v>71</v>
      </c>
      <c r="C9" s="9" t="s">
        <v>72</v>
      </c>
      <c r="D9" s="9" t="n">
        <v>13</v>
      </c>
      <c r="E9" s="11" t="n">
        <f aca="false">INDEX(Produtos!$D$2:$D$7,MATCH(C9,Produtos!$A$2:$A$7,0))</f>
        <v>100</v>
      </c>
      <c r="F9" s="11" t="n">
        <f aca="false">D9*E9</f>
        <v>1300</v>
      </c>
    </row>
    <row r="10" customFormat="false" ht="15" hidden="false" customHeight="false" outlineLevel="0" collapsed="false">
      <c r="A10" s="15" t="n">
        <v>46082</v>
      </c>
      <c r="B10" s="9" t="s">
        <v>53</v>
      </c>
      <c r="C10" s="9" t="s">
        <v>54</v>
      </c>
      <c r="D10" s="9" t="n">
        <v>18</v>
      </c>
      <c r="E10" s="11" t="n">
        <f aca="false">INDEX(Produtos!$D$2:$D$7,MATCH(C10,Produtos!$A$2:$A$7,0))</f>
        <v>200</v>
      </c>
      <c r="F10" s="11" t="n">
        <f aca="false">D10*E10</f>
        <v>3600</v>
      </c>
    </row>
    <row r="11" customFormat="false" ht="15" hidden="false" customHeight="false" outlineLevel="0" collapsed="false">
      <c r="A11" s="15" t="n">
        <v>46082</v>
      </c>
      <c r="B11" s="9" t="s">
        <v>59</v>
      </c>
      <c r="C11" s="9" t="s">
        <v>60</v>
      </c>
      <c r="D11" s="9" t="n">
        <v>12</v>
      </c>
      <c r="E11" s="11" t="n">
        <f aca="false">INDEX(Produtos!$D$2:$D$7,MATCH(C11,Produtos!$A$2:$A$7,0))</f>
        <v>300</v>
      </c>
      <c r="F11" s="11" t="n">
        <f aca="false">D11*E11</f>
        <v>3600</v>
      </c>
    </row>
    <row r="12" customFormat="false" ht="15" hidden="false" customHeight="false" outlineLevel="0" collapsed="false">
      <c r="A12" s="15" t="n">
        <v>46082</v>
      </c>
      <c r="B12" s="9" t="s">
        <v>65</v>
      </c>
      <c r="C12" s="9" t="s">
        <v>66</v>
      </c>
      <c r="D12" s="9" t="n">
        <v>12</v>
      </c>
      <c r="E12" s="11" t="n">
        <f aca="false">INDEX(Produtos!$D$2:$D$7,MATCH(C12,Produtos!$A$2:$A$7,0))</f>
        <v>400</v>
      </c>
      <c r="F12" s="11" t="n">
        <f aca="false">D12*E12</f>
        <v>4800</v>
      </c>
    </row>
    <row r="13" customFormat="false" ht="15" hidden="false" customHeight="false" outlineLevel="0" collapsed="false">
      <c r="A13" s="15" t="n">
        <v>46082</v>
      </c>
      <c r="B13" s="9" t="s">
        <v>71</v>
      </c>
      <c r="C13" s="9" t="s">
        <v>72</v>
      </c>
      <c r="D13" s="9" t="n">
        <v>13</v>
      </c>
      <c r="E13" s="11" t="n">
        <f aca="false">INDEX(Produtos!$D$2:$D$7,MATCH(C13,Produtos!$A$2:$A$7,0))</f>
        <v>100</v>
      </c>
      <c r="F13" s="11" t="n">
        <f aca="false">D13*E13</f>
        <v>1300</v>
      </c>
    </row>
    <row r="14" customFormat="false" ht="15" hidden="false" customHeight="false" outlineLevel="0" collapsed="false">
      <c r="A14" s="15" t="n">
        <v>46113</v>
      </c>
      <c r="B14" s="9" t="s">
        <v>53</v>
      </c>
      <c r="C14" s="9" t="s">
        <v>54</v>
      </c>
      <c r="D14" s="9" t="n">
        <v>15</v>
      </c>
      <c r="E14" s="11" t="n">
        <f aca="false">INDEX(Produtos!$D$2:$D$7,MATCH(C14,Produtos!$A$2:$A$7,0))</f>
        <v>200</v>
      </c>
      <c r="F14" s="11" t="n">
        <f aca="false">D14*E14</f>
        <v>3000</v>
      </c>
    </row>
    <row r="15" customFormat="false" ht="15" hidden="false" customHeight="false" outlineLevel="0" collapsed="false">
      <c r="A15" s="15" t="n">
        <v>46113</v>
      </c>
      <c r="B15" s="9" t="s">
        <v>59</v>
      </c>
      <c r="C15" s="9" t="s">
        <v>60</v>
      </c>
      <c r="D15" s="9" t="n">
        <v>15</v>
      </c>
      <c r="E15" s="11" t="n">
        <f aca="false">INDEX(Produtos!$D$2:$D$7,MATCH(C15,Produtos!$A$2:$A$7,0))</f>
        <v>300</v>
      </c>
      <c r="F15" s="11" t="n">
        <f aca="false">D15*E15</f>
        <v>4500</v>
      </c>
    </row>
    <row r="16" customFormat="false" ht="15" hidden="false" customHeight="false" outlineLevel="0" collapsed="false">
      <c r="A16" s="15" t="n">
        <v>46113</v>
      </c>
      <c r="B16" s="9" t="s">
        <v>65</v>
      </c>
      <c r="C16" s="9" t="s">
        <v>66</v>
      </c>
      <c r="D16" s="9" t="n">
        <v>12</v>
      </c>
      <c r="E16" s="11" t="n">
        <f aca="false">INDEX(Produtos!$D$2:$D$7,MATCH(C16,Produtos!$A$2:$A$7,0))</f>
        <v>400</v>
      </c>
      <c r="F16" s="11" t="n">
        <f aca="false">D16*E16</f>
        <v>4800</v>
      </c>
    </row>
    <row r="17" customFormat="false" ht="15" hidden="false" customHeight="false" outlineLevel="0" collapsed="false">
      <c r="A17" s="15" t="n">
        <v>46113</v>
      </c>
      <c r="B17" s="9" t="s">
        <v>71</v>
      </c>
      <c r="C17" s="9" t="s">
        <v>72</v>
      </c>
      <c r="D17" s="9" t="n">
        <v>15</v>
      </c>
      <c r="E17" s="11" t="n">
        <f aca="false">INDEX(Produtos!$D$2:$D$7,MATCH(C17,Produtos!$A$2:$A$7,0))</f>
        <v>100</v>
      </c>
      <c r="F17" s="11" t="n">
        <f aca="false">D17*E17</f>
        <v>1500</v>
      </c>
    </row>
    <row r="18" customFormat="false" ht="15" hidden="false" customHeight="false" outlineLevel="0" collapsed="false">
      <c r="A18" s="15" t="n">
        <v>46143</v>
      </c>
      <c r="B18" s="9" t="s">
        <v>53</v>
      </c>
      <c r="C18" s="9" t="s">
        <v>54</v>
      </c>
      <c r="D18" s="9" t="n">
        <v>18</v>
      </c>
      <c r="E18" s="11" t="n">
        <f aca="false">INDEX(Produtos!$D$2:$D$7,MATCH(C18,Produtos!$A$2:$A$7,0))</f>
        <v>200</v>
      </c>
      <c r="F18" s="11" t="n">
        <f aca="false">D18*E18</f>
        <v>3600</v>
      </c>
    </row>
    <row r="19" customFormat="false" ht="15" hidden="false" customHeight="false" outlineLevel="0" collapsed="false">
      <c r="A19" s="15" t="n">
        <v>46143</v>
      </c>
      <c r="B19" s="9" t="s">
        <v>59</v>
      </c>
      <c r="C19" s="9" t="s">
        <v>60</v>
      </c>
      <c r="D19" s="9" t="n">
        <v>15</v>
      </c>
      <c r="E19" s="11" t="n">
        <f aca="false">INDEX(Produtos!$D$2:$D$7,MATCH(C19,Produtos!$A$2:$A$7,0))</f>
        <v>300</v>
      </c>
      <c r="F19" s="11" t="n">
        <f aca="false">D19*E19</f>
        <v>4500</v>
      </c>
    </row>
    <row r="20" customFormat="false" ht="15" hidden="false" customHeight="false" outlineLevel="0" collapsed="false">
      <c r="A20" s="15" t="n">
        <v>46143</v>
      </c>
      <c r="B20" s="9" t="s">
        <v>65</v>
      </c>
      <c r="C20" s="9" t="s">
        <v>66</v>
      </c>
      <c r="D20" s="9" t="n">
        <v>19</v>
      </c>
      <c r="E20" s="11" t="n">
        <f aca="false">INDEX(Produtos!$D$2:$D$7,MATCH(C20,Produtos!$A$2:$A$7,0))</f>
        <v>400</v>
      </c>
      <c r="F20" s="11" t="n">
        <f aca="false">D20*E20</f>
        <v>7600</v>
      </c>
    </row>
    <row r="21" customFormat="false" ht="15" hidden="false" customHeight="false" outlineLevel="0" collapsed="false">
      <c r="A21" s="15" t="n">
        <v>46143</v>
      </c>
      <c r="B21" s="9" t="s">
        <v>71</v>
      </c>
      <c r="C21" s="9" t="s">
        <v>72</v>
      </c>
      <c r="D21" s="9" t="n">
        <v>16</v>
      </c>
      <c r="E21" s="11" t="n">
        <f aca="false">INDEX(Produtos!$D$2:$D$7,MATCH(C21,Produtos!$A$2:$A$7,0))</f>
        <v>100</v>
      </c>
      <c r="F21" s="11" t="n">
        <f aca="false">D21*E21</f>
        <v>1600</v>
      </c>
    </row>
    <row r="22" customFormat="false" ht="15" hidden="false" customHeight="false" outlineLevel="0" collapsed="false">
      <c r="A22" s="15" t="n">
        <v>46174</v>
      </c>
      <c r="B22" s="9" t="s">
        <v>53</v>
      </c>
      <c r="C22" s="9" t="s">
        <v>54</v>
      </c>
      <c r="D22" s="9" t="n">
        <v>12</v>
      </c>
      <c r="E22" s="11" t="n">
        <f aca="false">INDEX(Produtos!$D$2:$D$7,MATCH(C22,Produtos!$A$2:$A$7,0))</f>
        <v>200</v>
      </c>
      <c r="F22" s="11" t="n">
        <f aca="false">D22*E22</f>
        <v>2400</v>
      </c>
    </row>
    <row r="23" customFormat="false" ht="15" hidden="false" customHeight="false" outlineLevel="0" collapsed="false">
      <c r="A23" s="15" t="n">
        <v>46174</v>
      </c>
      <c r="B23" s="9" t="s">
        <v>59</v>
      </c>
      <c r="C23" s="9" t="s">
        <v>60</v>
      </c>
      <c r="D23" s="9" t="n">
        <v>14</v>
      </c>
      <c r="E23" s="11" t="n">
        <f aca="false">INDEX(Produtos!$D$2:$D$7,MATCH(C23,Produtos!$A$2:$A$7,0))</f>
        <v>300</v>
      </c>
      <c r="F23" s="11" t="n">
        <f aca="false">D23*E23</f>
        <v>4200</v>
      </c>
    </row>
    <row r="24" customFormat="false" ht="15" hidden="false" customHeight="false" outlineLevel="0" collapsed="false">
      <c r="A24" s="15" t="n">
        <v>46174</v>
      </c>
      <c r="B24" s="9" t="s">
        <v>65</v>
      </c>
      <c r="C24" s="9" t="s">
        <v>66</v>
      </c>
      <c r="D24" s="9" t="n">
        <v>18</v>
      </c>
      <c r="E24" s="11" t="n">
        <f aca="false">INDEX(Produtos!$D$2:$D$7,MATCH(C24,Produtos!$A$2:$A$7,0))</f>
        <v>400</v>
      </c>
      <c r="F24" s="11" t="n">
        <f aca="false">D24*E24</f>
        <v>7200</v>
      </c>
    </row>
    <row r="25" customFormat="false" ht="15" hidden="false" customHeight="false" outlineLevel="0" collapsed="false">
      <c r="A25" s="15" t="n">
        <v>46174</v>
      </c>
      <c r="B25" s="9" t="s">
        <v>71</v>
      </c>
      <c r="C25" s="9" t="s">
        <v>72</v>
      </c>
      <c r="D25" s="9" t="n">
        <v>17</v>
      </c>
      <c r="E25" s="11" t="n">
        <f aca="false">INDEX(Produtos!$D$2:$D$7,MATCH(C25,Produtos!$A$2:$A$7,0))</f>
        <v>100</v>
      </c>
      <c r="F25" s="11" t="n">
        <f aca="false">D25*E25</f>
        <v>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0" t="s">
        <v>43</v>
      </c>
      <c r="B1" s="10" t="s">
        <v>249</v>
      </c>
      <c r="C1" s="10" t="s">
        <v>250</v>
      </c>
    </row>
    <row r="2" customFormat="false" ht="15" hidden="false" customHeight="false" outlineLevel="0" collapsed="false">
      <c r="A2" s="13" t="n">
        <v>46023</v>
      </c>
      <c r="B2" s="9" t="s">
        <v>251</v>
      </c>
      <c r="C2" s="9" t="s">
        <v>252</v>
      </c>
    </row>
    <row r="3" customFormat="false" ht="15" hidden="false" customHeight="false" outlineLevel="0" collapsed="false">
      <c r="A3" s="13" t="n">
        <v>46069</v>
      </c>
      <c r="B3" s="9" t="s">
        <v>253</v>
      </c>
      <c r="C3" s="9" t="s">
        <v>254</v>
      </c>
    </row>
    <row r="4" customFormat="false" ht="15" hidden="false" customHeight="false" outlineLevel="0" collapsed="false">
      <c r="A4" s="13" t="n">
        <v>46070</v>
      </c>
      <c r="B4" s="9" t="s">
        <v>255</v>
      </c>
      <c r="C4" s="9" t="s">
        <v>254</v>
      </c>
    </row>
    <row r="5" customFormat="false" ht="15" hidden="false" customHeight="false" outlineLevel="0" collapsed="false">
      <c r="A5" s="13" t="n">
        <v>46115</v>
      </c>
      <c r="B5" s="9" t="s">
        <v>256</v>
      </c>
      <c r="C5" s="9" t="s">
        <v>252</v>
      </c>
    </row>
    <row r="6" customFormat="false" ht="15" hidden="false" customHeight="false" outlineLevel="0" collapsed="false">
      <c r="A6" s="13" t="n">
        <v>46133</v>
      </c>
      <c r="B6" s="9" t="s">
        <v>257</v>
      </c>
      <c r="C6" s="9" t="s">
        <v>252</v>
      </c>
    </row>
    <row r="7" customFormat="false" ht="15" hidden="false" customHeight="false" outlineLevel="0" collapsed="false">
      <c r="A7" s="13" t="n">
        <v>46143</v>
      </c>
      <c r="B7" s="9" t="s">
        <v>258</v>
      </c>
      <c r="C7" s="9" t="s">
        <v>252</v>
      </c>
    </row>
    <row r="8" customFormat="false" ht="15" hidden="false" customHeight="false" outlineLevel="0" collapsed="false">
      <c r="A8" s="13" t="n">
        <v>46177</v>
      </c>
      <c r="B8" s="9" t="s">
        <v>259</v>
      </c>
      <c r="C8" s="9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0" t="s">
        <v>260</v>
      </c>
      <c r="B1" s="10" t="s">
        <v>261</v>
      </c>
      <c r="C1" s="10" t="s">
        <v>262</v>
      </c>
    </row>
    <row r="2" customFormat="false" ht="15" hidden="false" customHeight="false" outlineLevel="0" collapsed="false">
      <c r="A2" s="16" t="n">
        <v>0</v>
      </c>
      <c r="B2" s="12" t="n">
        <v>0</v>
      </c>
      <c r="C2" s="9" t="s">
        <v>263</v>
      </c>
    </row>
    <row r="3" customFormat="false" ht="15" hidden="false" customHeight="false" outlineLevel="0" collapsed="false">
      <c r="A3" s="16" t="n">
        <v>0.8</v>
      </c>
      <c r="B3" s="12" t="n">
        <v>0.02</v>
      </c>
      <c r="C3" s="9" t="s">
        <v>264</v>
      </c>
    </row>
    <row r="4" customFormat="false" ht="15" hidden="false" customHeight="false" outlineLevel="0" collapsed="false">
      <c r="A4" s="16" t="n">
        <v>1</v>
      </c>
      <c r="B4" s="12" t="n">
        <v>0.05</v>
      </c>
      <c r="C4" s="9" t="s">
        <v>265</v>
      </c>
    </row>
    <row r="5" customFormat="false" ht="15" hidden="false" customHeight="false" outlineLevel="0" collapsed="false">
      <c r="A5" s="16" t="n">
        <v>1.2</v>
      </c>
      <c r="B5" s="12" t="n">
        <v>0.08</v>
      </c>
      <c r="C5" s="9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0" t="s">
        <v>267</v>
      </c>
      <c r="B1" s="10" t="s">
        <v>268</v>
      </c>
      <c r="C1" s="10" t="s">
        <v>269</v>
      </c>
      <c r="D1" s="10" t="s">
        <v>270</v>
      </c>
      <c r="E1" s="10" t="s">
        <v>271</v>
      </c>
    </row>
    <row r="2" customFormat="false" ht="15" hidden="false" customHeight="false" outlineLevel="0" collapsed="false">
      <c r="A2" s="17" t="n">
        <v>1</v>
      </c>
      <c r="B2" s="17" t="s">
        <v>272</v>
      </c>
      <c r="C2" s="18" t="s">
        <v>273</v>
      </c>
      <c r="D2" s="18" t="s">
        <v>274</v>
      </c>
      <c r="E2" s="19"/>
    </row>
    <row r="3" customFormat="false" ht="15" hidden="false" customHeight="false" outlineLevel="0" collapsed="false">
      <c r="A3" s="17" t="n">
        <v>2</v>
      </c>
      <c r="B3" s="17" t="s">
        <v>272</v>
      </c>
      <c r="C3" s="18" t="s">
        <v>275</v>
      </c>
      <c r="D3" s="18" t="s">
        <v>276</v>
      </c>
      <c r="E3" s="19"/>
    </row>
    <row r="4" customFormat="false" ht="15" hidden="false" customHeight="false" outlineLevel="0" collapsed="false">
      <c r="A4" s="17" t="n">
        <v>3</v>
      </c>
      <c r="B4" s="17" t="s">
        <v>272</v>
      </c>
      <c r="C4" s="18" t="s">
        <v>277</v>
      </c>
      <c r="D4" s="18" t="s">
        <v>278</v>
      </c>
      <c r="E4" s="19"/>
    </row>
    <row r="5" customFormat="false" ht="15" hidden="false" customHeight="false" outlineLevel="0" collapsed="false">
      <c r="A5" s="17" t="n">
        <v>4</v>
      </c>
      <c r="B5" s="17" t="s">
        <v>272</v>
      </c>
      <c r="C5" s="18" t="s">
        <v>279</v>
      </c>
      <c r="D5" s="18" t="s">
        <v>280</v>
      </c>
      <c r="E5" s="19"/>
    </row>
    <row r="6" customFormat="false" ht="15" hidden="false" customHeight="false" outlineLevel="0" collapsed="false">
      <c r="A6" s="17" t="n">
        <v>5</v>
      </c>
      <c r="B6" s="17" t="s">
        <v>272</v>
      </c>
      <c r="C6" s="18" t="s">
        <v>281</v>
      </c>
      <c r="D6" s="18" t="s">
        <v>282</v>
      </c>
      <c r="E6" s="19"/>
    </row>
    <row r="7" customFormat="false" ht="15" hidden="false" customHeight="false" outlineLevel="0" collapsed="false">
      <c r="A7" s="17" t="n">
        <v>6</v>
      </c>
      <c r="B7" s="17" t="s">
        <v>272</v>
      </c>
      <c r="C7" s="18" t="s">
        <v>281</v>
      </c>
      <c r="D7" s="18" t="s">
        <v>283</v>
      </c>
      <c r="E7" s="19"/>
    </row>
    <row r="8" customFormat="false" ht="15" hidden="false" customHeight="false" outlineLevel="0" collapsed="false">
      <c r="A8" s="17" t="n">
        <v>7</v>
      </c>
      <c r="B8" s="17" t="s">
        <v>272</v>
      </c>
      <c r="C8" s="18" t="s">
        <v>284</v>
      </c>
      <c r="D8" s="18" t="s">
        <v>285</v>
      </c>
      <c r="E8" s="19"/>
    </row>
    <row r="9" customFormat="false" ht="15" hidden="false" customHeight="false" outlineLevel="0" collapsed="false">
      <c r="A9" s="17" t="n">
        <v>8</v>
      </c>
      <c r="B9" s="17" t="s">
        <v>286</v>
      </c>
      <c r="C9" s="18" t="s">
        <v>287</v>
      </c>
      <c r="D9" s="18" t="s">
        <v>288</v>
      </c>
      <c r="E9" s="19"/>
    </row>
    <row r="10" customFormat="false" ht="15" hidden="false" customHeight="false" outlineLevel="0" collapsed="false">
      <c r="A10" s="17" t="n">
        <v>9</v>
      </c>
      <c r="B10" s="17" t="s">
        <v>286</v>
      </c>
      <c r="C10" s="18" t="s">
        <v>289</v>
      </c>
      <c r="D10" s="18" t="s">
        <v>290</v>
      </c>
      <c r="E10" s="19"/>
    </row>
    <row r="11" customFormat="false" ht="28.35" hidden="false" customHeight="false" outlineLevel="0" collapsed="false">
      <c r="A11" s="17" t="n">
        <v>10</v>
      </c>
      <c r="B11" s="17" t="s">
        <v>286</v>
      </c>
      <c r="C11" s="18" t="s">
        <v>291</v>
      </c>
      <c r="D11" s="18" t="s">
        <v>292</v>
      </c>
      <c r="E11" s="19"/>
    </row>
    <row r="12" customFormat="false" ht="28.35" hidden="false" customHeight="false" outlineLevel="0" collapsed="false">
      <c r="A12" s="17" t="n">
        <v>11</v>
      </c>
      <c r="B12" s="17" t="s">
        <v>286</v>
      </c>
      <c r="C12" s="18" t="s">
        <v>293</v>
      </c>
      <c r="D12" s="18" t="s">
        <v>294</v>
      </c>
      <c r="E12" s="19"/>
    </row>
    <row r="13" customFormat="false" ht="15" hidden="false" customHeight="false" outlineLevel="0" collapsed="false">
      <c r="A13" s="17" t="n">
        <v>12</v>
      </c>
      <c r="B13" s="17" t="s">
        <v>286</v>
      </c>
      <c r="C13" s="18" t="s">
        <v>287</v>
      </c>
      <c r="D13" s="18" t="s">
        <v>295</v>
      </c>
      <c r="E13" s="19"/>
    </row>
    <row r="14" customFormat="false" ht="28.35" hidden="false" customHeight="false" outlineLevel="0" collapsed="false">
      <c r="A14" s="17" t="n">
        <v>13</v>
      </c>
      <c r="B14" s="17" t="s">
        <v>286</v>
      </c>
      <c r="C14" s="18" t="s">
        <v>287</v>
      </c>
      <c r="D14" s="18" t="s">
        <v>296</v>
      </c>
      <c r="E14" s="19"/>
    </row>
    <row r="15" customFormat="false" ht="15" hidden="false" customHeight="false" outlineLevel="0" collapsed="false">
      <c r="A15" s="17" t="n">
        <v>14</v>
      </c>
      <c r="B15" s="17" t="s">
        <v>286</v>
      </c>
      <c r="C15" s="18" t="s">
        <v>297</v>
      </c>
      <c r="D15" s="18" t="s">
        <v>298</v>
      </c>
      <c r="E15" s="19"/>
    </row>
    <row r="16" customFormat="false" ht="15" hidden="false" customHeight="false" outlineLevel="0" collapsed="false">
      <c r="A16" s="17" t="n">
        <v>15</v>
      </c>
      <c r="B16" s="17" t="s">
        <v>286</v>
      </c>
      <c r="C16" s="18" t="s">
        <v>299</v>
      </c>
      <c r="D16" s="18" t="s">
        <v>300</v>
      </c>
      <c r="E16" s="19"/>
    </row>
    <row r="17" customFormat="false" ht="28.35" hidden="false" customHeight="false" outlineLevel="0" collapsed="false">
      <c r="A17" s="17" t="n">
        <v>16</v>
      </c>
      <c r="B17" s="17" t="s">
        <v>286</v>
      </c>
      <c r="C17" s="18" t="s">
        <v>301</v>
      </c>
      <c r="D17" s="18" t="s">
        <v>302</v>
      </c>
      <c r="E17" s="19"/>
    </row>
    <row r="18" customFormat="false" ht="15" hidden="false" customHeight="false" outlineLevel="0" collapsed="false">
      <c r="A18" s="17" t="n">
        <v>17</v>
      </c>
      <c r="B18" s="17" t="s">
        <v>286</v>
      </c>
      <c r="C18" s="18" t="s">
        <v>303</v>
      </c>
      <c r="D18" s="18" t="s">
        <v>304</v>
      </c>
      <c r="E18" s="19"/>
    </row>
    <row r="19" customFormat="false" ht="28.35" hidden="false" customHeight="false" outlineLevel="0" collapsed="false">
      <c r="A19" s="17" t="n">
        <v>18</v>
      </c>
      <c r="B19" s="17" t="s">
        <v>305</v>
      </c>
      <c r="C19" s="18" t="s">
        <v>306</v>
      </c>
      <c r="D19" s="18" t="s">
        <v>307</v>
      </c>
      <c r="E19" s="19"/>
    </row>
    <row r="20" customFormat="false" ht="28.35" hidden="false" customHeight="false" outlineLevel="0" collapsed="false">
      <c r="A20" s="17" t="n">
        <v>19</v>
      </c>
      <c r="B20" s="17" t="s">
        <v>305</v>
      </c>
      <c r="C20" s="18" t="s">
        <v>308</v>
      </c>
      <c r="D20" s="18" t="s">
        <v>309</v>
      </c>
      <c r="E20" s="19"/>
    </row>
    <row r="21" customFormat="false" ht="15" hidden="false" customHeight="false" outlineLevel="0" collapsed="false">
      <c r="A21" s="17" t="n">
        <v>20</v>
      </c>
      <c r="B21" s="17" t="s">
        <v>305</v>
      </c>
      <c r="C21" s="18" t="s">
        <v>281</v>
      </c>
      <c r="D21" s="18" t="s">
        <v>310</v>
      </c>
      <c r="E21" s="19"/>
    </row>
    <row r="22" customFormat="false" ht="28.35" hidden="false" customHeight="false" outlineLevel="0" collapsed="false">
      <c r="A22" s="17" t="n">
        <v>21</v>
      </c>
      <c r="B22" s="17" t="s">
        <v>305</v>
      </c>
      <c r="C22" s="18" t="s">
        <v>291</v>
      </c>
      <c r="D22" s="18" t="s">
        <v>311</v>
      </c>
      <c r="E22" s="19"/>
    </row>
    <row r="23" customFormat="false" ht="28.35" hidden="false" customHeight="false" outlineLevel="0" collapsed="false">
      <c r="A23" s="17" t="n">
        <v>22</v>
      </c>
      <c r="B23" s="17" t="s">
        <v>305</v>
      </c>
      <c r="C23" s="18" t="s">
        <v>291</v>
      </c>
      <c r="D23" s="18" t="s">
        <v>312</v>
      </c>
      <c r="E23" s="19"/>
    </row>
    <row r="24" customFormat="false" ht="15" hidden="false" customHeight="false" outlineLevel="0" collapsed="false">
      <c r="A24" s="17" t="n">
        <v>23</v>
      </c>
      <c r="B24" s="17" t="s">
        <v>305</v>
      </c>
      <c r="C24" s="18" t="s">
        <v>313</v>
      </c>
      <c r="D24" s="18" t="s">
        <v>314</v>
      </c>
      <c r="E24" s="19"/>
    </row>
    <row r="25" customFormat="false" ht="28.35" hidden="false" customHeight="false" outlineLevel="0" collapsed="false">
      <c r="A25" s="17" t="n">
        <v>24</v>
      </c>
      <c r="B25" s="17" t="s">
        <v>305</v>
      </c>
      <c r="C25" s="18" t="s">
        <v>293</v>
      </c>
      <c r="D25" s="18" t="s">
        <v>315</v>
      </c>
      <c r="E25" s="19"/>
    </row>
    <row r="26" customFormat="false" ht="41.75" hidden="false" customHeight="false" outlineLevel="0" collapsed="false">
      <c r="A26" s="17" t="n">
        <v>25</v>
      </c>
      <c r="B26" s="17" t="s">
        <v>316</v>
      </c>
      <c r="C26" s="18" t="s">
        <v>317</v>
      </c>
      <c r="D26" s="18" t="s">
        <v>318</v>
      </c>
      <c r="E26" s="19"/>
    </row>
    <row r="27" customFormat="false" ht="28.35" hidden="false" customHeight="false" outlineLevel="0" collapsed="false">
      <c r="A27" s="17" t="n">
        <v>26</v>
      </c>
      <c r="B27" s="17" t="s">
        <v>316</v>
      </c>
      <c r="C27" s="18" t="s">
        <v>319</v>
      </c>
      <c r="D27" s="18" t="s">
        <v>320</v>
      </c>
      <c r="E2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95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0" t="s">
        <v>267</v>
      </c>
      <c r="B1" s="10" t="s">
        <v>268</v>
      </c>
      <c r="C1" s="10" t="s">
        <v>321</v>
      </c>
      <c r="D1" s="10" t="s">
        <v>322</v>
      </c>
    </row>
    <row r="2" customFormat="false" ht="15" hidden="false" customHeight="false" outlineLevel="0" collapsed="false">
      <c r="A2" s="17" t="n">
        <v>1</v>
      </c>
      <c r="B2" s="17" t="s">
        <v>272</v>
      </c>
      <c r="C2" s="18" t="s">
        <v>323</v>
      </c>
      <c r="D2" s="20" t="n">
        <f aca="false">SUM(Vendas!$G$2:$G$121)</f>
        <v>90000</v>
      </c>
    </row>
    <row r="3" customFormat="false" ht="15" hidden="false" customHeight="false" outlineLevel="0" collapsed="false">
      <c r="A3" s="17" t="n">
        <v>2</v>
      </c>
      <c r="B3" s="17" t="s">
        <v>272</v>
      </c>
      <c r="C3" s="18" t="s">
        <v>324</v>
      </c>
      <c r="D3" s="20" t="n">
        <f aca="false">AVERAGE(Vendas!$G$2:$G$121)</f>
        <v>750</v>
      </c>
    </row>
    <row r="4" customFormat="false" ht="15" hidden="false" customHeight="false" outlineLevel="0" collapsed="false">
      <c r="A4" s="17" t="n">
        <v>3</v>
      </c>
      <c r="B4" s="17" t="s">
        <v>272</v>
      </c>
      <c r="C4" s="18" t="s">
        <v>325</v>
      </c>
      <c r="D4" s="20" t="n">
        <f aca="false">MAX(Vendas!$G$2:$G$121)-MIN(Vendas!$G$2:$G$121)</f>
        <v>1900</v>
      </c>
    </row>
    <row r="5" customFormat="false" ht="15" hidden="false" customHeight="false" outlineLevel="0" collapsed="false">
      <c r="A5" s="17" t="n">
        <v>4</v>
      </c>
      <c r="B5" s="17" t="s">
        <v>272</v>
      </c>
      <c r="C5" s="18" t="s">
        <v>326</v>
      </c>
      <c r="D5" s="21" t="n">
        <f aca="false">COUNTA(Vendas!$A$2:$A$121)</f>
        <v>120</v>
      </c>
    </row>
    <row r="6" customFormat="false" ht="15" hidden="false" customHeight="false" outlineLevel="0" collapsed="false">
      <c r="A6" s="17" t="n">
        <v>5</v>
      </c>
      <c r="B6" s="17" t="s">
        <v>272</v>
      </c>
      <c r="C6" s="18" t="s">
        <v>327</v>
      </c>
      <c r="D6" s="20" t="n">
        <f aca="false">SUMIF(Vendas!$B$2:$B$121,"Sul",Vendas!$G$2:$G$121)</f>
        <v>9000</v>
      </c>
    </row>
    <row r="7" customFormat="false" ht="15" hidden="false" customHeight="false" outlineLevel="0" collapsed="false">
      <c r="A7" s="17" t="n">
        <v>6</v>
      </c>
      <c r="B7" s="17" t="s">
        <v>272</v>
      </c>
      <c r="C7" s="18" t="s">
        <v>328</v>
      </c>
      <c r="D7" s="21" t="n">
        <f aca="false">SUMIF(Vendas!$C$2:$C$121,"Azure",Vendas!$E$2:$E$121)</f>
        <v>90</v>
      </c>
    </row>
    <row r="8" customFormat="false" ht="15" hidden="false" customHeight="false" outlineLevel="0" collapsed="false">
      <c r="A8" s="17" t="n">
        <v>7</v>
      </c>
      <c r="B8" s="17" t="s">
        <v>272</v>
      </c>
      <c r="C8" s="18" t="s">
        <v>329</v>
      </c>
      <c r="D8" s="21" t="n">
        <f aca="false">COUNTIFS(Vendas!$D$2:$D$121,"Bruno",Vendas!$E$2:$E$121,"&gt;=3")</f>
        <v>18</v>
      </c>
    </row>
    <row r="9" customFormat="false" ht="15" hidden="false" customHeight="false" outlineLevel="0" collapsed="false">
      <c r="A9" s="17" t="n">
        <v>8</v>
      </c>
      <c r="B9" s="17" t="s">
        <v>286</v>
      </c>
      <c r="C9" s="18" t="s">
        <v>330</v>
      </c>
      <c r="D9" s="22" t="str">
        <f aca="false">VLOOKUP(Vendas!C2,Produtos!$A$2:$H$7,2,FALSE())</f>
        <v>IA</v>
      </c>
    </row>
    <row r="10" customFormat="false" ht="15" hidden="false" customHeight="false" outlineLevel="0" collapsed="false">
      <c r="A10" s="17" t="n">
        <v>9</v>
      </c>
      <c r="B10" s="17" t="s">
        <v>286</v>
      </c>
      <c r="C10" s="18" t="s">
        <v>331</v>
      </c>
      <c r="D10" s="20" t="n">
        <f aca="false">INDEX(Produtos!$E$2:$E$7,MATCH(Vendas!C2,Produtos!$A$2:$A$7,0))</f>
        <v>130</v>
      </c>
    </row>
    <row r="11" customFormat="false" ht="28.35" hidden="false" customHeight="false" outlineLevel="0" collapsed="false">
      <c r="A11" s="17" t="n">
        <v>10</v>
      </c>
      <c r="B11" s="17" t="s">
        <v>286</v>
      </c>
      <c r="C11" s="18" t="s">
        <v>332</v>
      </c>
      <c r="D11" s="20" t="n">
        <f aca="false">SUMPRODUCT(Vendas!$E$2:$E$121*(Vendas!$F$2:$F$121-SUMIF(Produtos!$A$2:$A$7,Vendas!$C$2:$C$121,Produtos!$E$2:$E$7)))</f>
        <v>34200</v>
      </c>
    </row>
    <row r="12" customFormat="false" ht="15" hidden="false" customHeight="false" outlineLevel="0" collapsed="false">
      <c r="A12" s="17" t="n">
        <v>11</v>
      </c>
      <c r="B12" s="17" t="s">
        <v>286</v>
      </c>
      <c r="C12" s="18" t="s">
        <v>333</v>
      </c>
      <c r="D12" s="20" t="n">
        <f aca="false">SUMIF(Vendas!$D$2:$D$121,"Bruno",Vendas!$G$2:$G$121)*VLOOKUP("Bruno",Vendedores!$A$2:$H$8,7,FALSE())</f>
        <v>720</v>
      </c>
    </row>
    <row r="13" customFormat="false" ht="15" hidden="false" customHeight="false" outlineLevel="0" collapsed="false">
      <c r="A13" s="17" t="n">
        <v>12</v>
      </c>
      <c r="B13" s="17" t="s">
        <v>286</v>
      </c>
      <c r="C13" s="18" t="s">
        <v>334</v>
      </c>
      <c r="D13" s="22" t="str">
        <f aca="false">VLOOKUP(Vendas!H2,Centro_Custo!$A$2:$E$5,3,FALSE())</f>
        <v>Comercial</v>
      </c>
    </row>
    <row r="14" customFormat="false" ht="15" hidden="false" customHeight="false" outlineLevel="0" collapsed="false">
      <c r="A14" s="17" t="n">
        <v>13</v>
      </c>
      <c r="B14" s="17" t="s">
        <v>286</v>
      </c>
      <c r="C14" s="18" t="s">
        <v>335</v>
      </c>
      <c r="D14" s="22" t="str">
        <f aca="false">VLOOKUP(Vendas!I2,Contas_GL!$A$2:$D$5,2,FALSE())</f>
        <v>Receita de Serviços em Nuvem</v>
      </c>
    </row>
    <row r="15" customFormat="false" ht="15" hidden="false" customHeight="false" outlineLevel="0" collapsed="false">
      <c r="A15" s="17" t="n">
        <v>14</v>
      </c>
      <c r="B15" s="17" t="s">
        <v>286</v>
      </c>
      <c r="C15" s="18" t="s">
        <v>336</v>
      </c>
      <c r="D15" s="20" t="n">
        <f aca="false">SUMIFS(Vendas!$G$2:$G$121,Vendas!$A$2:$A$121,"2026-01*")</f>
        <v>15000</v>
      </c>
    </row>
    <row r="16" customFormat="false" ht="15" hidden="false" customHeight="false" outlineLevel="0" collapsed="false">
      <c r="A16" s="17" t="n">
        <v>15</v>
      </c>
      <c r="B16" s="17" t="s">
        <v>286</v>
      </c>
      <c r="C16" s="18" t="s">
        <v>337</v>
      </c>
      <c r="D16" s="21" t="n">
        <f aca="false">MONTH(DATEVALUE(Vendas!A2))</f>
        <v>1</v>
      </c>
    </row>
    <row r="17" customFormat="false" ht="15" hidden="false" customHeight="false" outlineLevel="0" collapsed="false">
      <c r="A17" s="17" t="n">
        <v>16</v>
      </c>
      <c r="B17" s="17" t="s">
        <v>286</v>
      </c>
      <c r="C17" s="18" t="s">
        <v>338</v>
      </c>
      <c r="D17" s="22" t="str">
        <f aca="false">IFERROR(VLOOKUP("Paulo",Vendedores!$A$2:$H$8,7,FALSE()),"Não cadastrado")</f>
        <v>Não cadastrado</v>
      </c>
    </row>
    <row r="18" customFormat="false" ht="15" hidden="false" customHeight="false" outlineLevel="0" collapsed="false">
      <c r="A18" s="17" t="n">
        <v>17</v>
      </c>
      <c r="B18" s="17" t="s">
        <v>286</v>
      </c>
      <c r="C18" s="18" t="s">
        <v>339</v>
      </c>
      <c r="D18" s="22" t="str">
        <f aca="false">IF(Vendas!G4&gt;=1000,"Alta",IF(Vendas!G4&gt;=500,"Média","Baixa"))</f>
        <v>Alta</v>
      </c>
    </row>
    <row r="19" customFormat="false" ht="28.35" hidden="false" customHeight="false" outlineLevel="0" collapsed="false">
      <c r="A19" s="17" t="n">
        <v>18</v>
      </c>
      <c r="B19" s="17" t="s">
        <v>305</v>
      </c>
      <c r="C19" s="18" t="s">
        <v>340</v>
      </c>
      <c r="D19" s="23" t="n">
        <f aca="false">SUMIFS(Vendas!$G$2:$G$121,Vendas!$B$2:$B$121,"Sudeste",Vendas!$A$2:$A$121,"2026-01*")/SUMIFS(Metas!$F$2:$F$25,Metas!$B$2:$B$25,"Sudeste",Metas!$A$2:$A$25,DATE(2026,1,1))</f>
        <v>1.15384615384615</v>
      </c>
    </row>
    <row r="20" customFormat="false" ht="15" hidden="false" customHeight="false" outlineLevel="0" collapsed="false">
      <c r="A20" s="17" t="n">
        <v>19</v>
      </c>
      <c r="B20" s="17" t="s">
        <v>305</v>
      </c>
      <c r="C20" s="18" t="s">
        <v>341</v>
      </c>
      <c r="D20" s="23" t="n">
        <f aca="false">VLOOKUP(D19,Faixas_Bonus!$A$2:$C$5,2,TRUE())</f>
        <v>0.05</v>
      </c>
    </row>
    <row r="21" customFormat="false" ht="15" hidden="false" customHeight="false" outlineLevel="0" collapsed="false">
      <c r="A21" s="17" t="n">
        <v>20</v>
      </c>
      <c r="B21" s="17" t="s">
        <v>305</v>
      </c>
      <c r="C21" s="18" t="s">
        <v>342</v>
      </c>
      <c r="D21" s="23" t="n">
        <f aca="false">SUMIF(Vendas!$B$2:$B$121,"Nordeste",Vendas!$G$2:$G$121)/SUM(Vendas!$G$2:$G$121)</f>
        <v>0.4</v>
      </c>
    </row>
    <row r="22" customFormat="false" ht="28.35" hidden="false" customHeight="false" outlineLevel="0" collapsed="false">
      <c r="A22" s="17" t="n">
        <v>21</v>
      </c>
      <c r="B22" s="17" t="s">
        <v>305</v>
      </c>
      <c r="C22" s="18" t="s">
        <v>343</v>
      </c>
      <c r="D22" s="20" t="n">
        <f aca="false">SUMPRODUCT(SUMIF(Vendas!$C$2:$C$121,Produtos!$A$2:$A$7,Vendas!$G$2:$G$121)*(Produtos!$B$2:$B$7="Produtividade"))</f>
        <v>36000</v>
      </c>
    </row>
    <row r="23" customFormat="false" ht="28.35" hidden="false" customHeight="false" outlineLevel="0" collapsed="false">
      <c r="A23" s="17" t="n">
        <v>22</v>
      </c>
      <c r="B23" s="17" t="s">
        <v>305</v>
      </c>
      <c r="C23" s="18" t="s">
        <v>344</v>
      </c>
      <c r="D23" s="21" t="n">
        <f aca="false">1+SUMPRODUCT(--(SUMIF(Vendas!$D$2:$D$121,Vendedores!$A$2:$A$8,Vendas!$G$2:$G$121)&gt;SUMIF(Vendas!$D$2:$D$121,"Bruno",Vendas!$G$2:$G$121)))</f>
        <v>3</v>
      </c>
    </row>
    <row r="24" customFormat="false" ht="15" hidden="false" customHeight="false" outlineLevel="0" collapsed="false">
      <c r="A24" s="17" t="n">
        <v>23</v>
      </c>
      <c r="B24" s="17" t="s">
        <v>305</v>
      </c>
      <c r="C24" s="18" t="s">
        <v>345</v>
      </c>
      <c r="D24" s="21" t="n">
        <f aca="false">NETWORKDAYS(DATE(2026,1,1),DATE(2026,1,31),Feriados!$A$2:$A$8)</f>
        <v>21</v>
      </c>
    </row>
    <row r="25" customFormat="false" ht="15" hidden="false" customHeight="false" outlineLevel="0" collapsed="false">
      <c r="A25" s="17" t="n">
        <v>24</v>
      </c>
      <c r="B25" s="17" t="s">
        <v>305</v>
      </c>
      <c r="C25" s="18" t="s">
        <v>346</v>
      </c>
      <c r="D25" s="23" t="n">
        <f aca="false">SUMIF(Vendas!$H$2:$H$121,"CC200",Vendas!$G$2:$G$121)/VLOOKUP("CC200",Centro_Custo!$A$2:$E$5,5,FALSE())</f>
        <v>1.08</v>
      </c>
    </row>
    <row r="26" customFormat="false" ht="15" hidden="false" customHeight="false" outlineLevel="0" collapsed="false">
      <c r="A26" s="17" t="n">
        <v>25</v>
      </c>
      <c r="B26" s="17" t="s">
        <v>316</v>
      </c>
      <c r="C26" s="18" t="s">
        <v>347</v>
      </c>
      <c r="D26" s="24" t="s">
        <v>348</v>
      </c>
    </row>
    <row r="27" customFormat="false" ht="15" hidden="false" customHeight="false" outlineLevel="0" collapsed="false">
      <c r="A27" s="17" t="n">
        <v>26</v>
      </c>
      <c r="B27" s="17" t="s">
        <v>316</v>
      </c>
      <c r="C27" s="18" t="s">
        <v>349</v>
      </c>
      <c r="D27" s="24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2026-09-21T14:30:00Z</dcterms:created>
  <dc:creator>Lucas Zanella Clemente</dc:creator>
  <dc:description/>
  <dc:language>en-US</dc:language>
  <cp:lastModifiedBy/>
  <dcterms:modified xsi:type="dcterms:W3CDTF">2026-09-23T15:22:44Z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e4296c-bdfa-4b55-b94b-1d04a78e7a08_ActionId">
    <vt:lpwstr>a03579a8-a99e-4511-b810-2701f353da23</vt:lpwstr>
  </property>
  <property fmtid="{D5CDD505-2E9C-101B-9397-08002B2CF9AE}" pid="3" name="MSIP_Label_8ee4296c-bdfa-4b55-b94b-1d04a78e7a08_ContentBits">
    <vt:lpwstr>0</vt:lpwstr>
  </property>
  <property fmtid="{D5CDD505-2E9C-101B-9397-08002B2CF9AE}" pid="4" name="MSIP_Label_8ee4296c-bdfa-4b55-b94b-1d04a78e7a08_Enabled">
    <vt:lpwstr>true</vt:lpwstr>
  </property>
  <property fmtid="{D5CDD505-2E9C-101B-9397-08002B2CF9AE}" pid="5" name="MSIP_Label_8ee4296c-bdfa-4b55-b94b-1d04a78e7a08_Method">
    <vt:lpwstr>Standard</vt:lpwstr>
  </property>
  <property fmtid="{D5CDD505-2E9C-101B-9397-08002B2CF9AE}" pid="6" name="MSIP_Label_8ee4296c-bdfa-4b55-b94b-1d04a78e7a08_Name">
    <vt:lpwstr>TH19-ISO27001-2022-PUBLIC</vt:lpwstr>
  </property>
  <property fmtid="{D5CDD505-2E9C-101B-9397-08002B2CF9AE}" pid="7" name="MSIP_Label_8ee4296c-bdfa-4b55-b94b-1d04a78e7a08_SetDate">
    <vt:lpwstr>2026-09-21T14:30:29Z</vt:lpwstr>
  </property>
  <property fmtid="{D5CDD505-2E9C-101B-9397-08002B2CF9AE}" pid="8" name="MSIP_Label_8ee4296c-bdfa-4b55-b94b-1d04a78e7a08_SiteId">
    <vt:lpwstr>64f77dc5-3c66-462b-a765-7e07b045624a</vt:lpwstr>
  </property>
  <property fmtid="{D5CDD505-2E9C-101B-9397-08002B2CF9AE}" pid="9" name="MSIP_Label_8ee4296c-bdfa-4b55-b94b-1d04a78e7a08_Tag">
    <vt:lpwstr>10, 3, 0, 2</vt:lpwstr>
  </property>
</Properties>
</file>